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orenzo.chiapparoli\Documents\Dataset_completo\"/>
    </mc:Choice>
  </mc:AlternateContent>
  <bookViews>
    <workbookView xWindow="0" yWindow="0" windowWidth="28800" windowHeight="12180" activeTab="3"/>
  </bookViews>
  <sheets>
    <sheet name="aree" sheetId="1" r:id="rId1"/>
    <sheet name="quantifiche" sheetId="2" r:id="rId2"/>
    <sheet name="nt per ogni group" sheetId="4" r:id="rId3"/>
    <sheet name=" SEV + CHEM COMPLETO" sheetId="5" r:id="rId4"/>
    <sheet name="Foglio1" sheetId="6" r:id="rId5"/>
    <sheet name="legenda chem" sheetId="3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5" l="1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" i="5"/>
  <c r="M342" i="5" l="1"/>
  <c r="M343" i="5"/>
  <c r="M344" i="5"/>
  <c r="M345" i="5"/>
  <c r="M346" i="5"/>
  <c r="M347" i="5"/>
  <c r="M348" i="5"/>
  <c r="M349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6" i="5"/>
  <c r="M95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2" i="5" l="1"/>
  <c r="B182" i="4" l="1"/>
  <c r="B524" i="4" l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112" i="4" l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129" i="2" l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</calcChain>
</file>

<file path=xl/sharedStrings.xml><?xml version="1.0" encoding="utf-8"?>
<sst xmlns="http://schemas.openxmlformats.org/spreadsheetml/2006/main" count="6424" uniqueCount="454">
  <si>
    <t xml:space="preserve">Unknonw </t>
  </si>
  <si>
    <t>Citric</t>
  </si>
  <si>
    <t>Tartaric</t>
  </si>
  <si>
    <t>Malic</t>
  </si>
  <si>
    <t>Succinic</t>
  </si>
  <si>
    <t>Unknown</t>
  </si>
  <si>
    <t>Unknonwn</t>
  </si>
  <si>
    <t>Acetic</t>
  </si>
  <si>
    <t>Sample_ID_eno</t>
  </si>
  <si>
    <t xml:space="preserve">Sample_ID_pato </t>
  </si>
  <si>
    <t>8,143-8,17</t>
  </si>
  <si>
    <t>10,5-10,8</t>
  </si>
  <si>
    <t>11,4-11,7</t>
  </si>
  <si>
    <t>16.8</t>
  </si>
  <si>
    <t>19,7-20</t>
  </si>
  <si>
    <t>tR</t>
  </si>
  <si>
    <t>area</t>
  </si>
  <si>
    <t>mg/L</t>
  </si>
  <si>
    <t>g/L</t>
  </si>
  <si>
    <t>fed_1</t>
  </si>
  <si>
    <t>C. zemplinina + G. oxidans</t>
  </si>
  <si>
    <t>fed_2</t>
  </si>
  <si>
    <t>fed_3</t>
  </si>
  <si>
    <t>fed_4</t>
  </si>
  <si>
    <t>M. pulcherrima + G. oxidans</t>
  </si>
  <si>
    <t>fed_5</t>
  </si>
  <si>
    <t>fed_6</t>
  </si>
  <si>
    <t>fed_7</t>
  </si>
  <si>
    <t>H. uvarum + G. oxidans</t>
  </si>
  <si>
    <t>fed_8</t>
  </si>
  <si>
    <t>fed_9</t>
  </si>
  <si>
    <t>fed_10</t>
  </si>
  <si>
    <t>P. terricola + G. oxidans</t>
  </si>
  <si>
    <t>fed_11</t>
  </si>
  <si>
    <t>fed_12</t>
  </si>
  <si>
    <t>fed_13</t>
  </si>
  <si>
    <t>Z. hellenicus + G. oxidans</t>
  </si>
  <si>
    <t>fed_14</t>
  </si>
  <si>
    <t>fed_15</t>
  </si>
  <si>
    <t>fed_16</t>
  </si>
  <si>
    <t>P. occidentalis + G. oxidans</t>
  </si>
  <si>
    <t>fed_17</t>
  </si>
  <si>
    <t>fed_18</t>
  </si>
  <si>
    <t>fed_19</t>
  </si>
  <si>
    <t>Z. bailii + G. oxidans</t>
  </si>
  <si>
    <t>fed_20</t>
  </si>
  <si>
    <t>fed_21</t>
  </si>
  <si>
    <t>fed_22</t>
  </si>
  <si>
    <t>S. vinii + G. oxidans</t>
  </si>
  <si>
    <t>fed_23</t>
  </si>
  <si>
    <t>fed_24</t>
  </si>
  <si>
    <t>fed_25</t>
  </si>
  <si>
    <t>T. delbrueckii + G. oxidans</t>
  </si>
  <si>
    <t>fed_26</t>
  </si>
  <si>
    <t>fed_27</t>
  </si>
  <si>
    <t>fed_28</t>
  </si>
  <si>
    <t>C. zemplinina + A. syzygii</t>
  </si>
  <si>
    <t>fed_29</t>
  </si>
  <si>
    <t>fed_30</t>
  </si>
  <si>
    <t>fed_31</t>
  </si>
  <si>
    <t>M. pulcherrima + A. syzygii</t>
  </si>
  <si>
    <t>fed_32</t>
  </si>
  <si>
    <t>fed_33</t>
  </si>
  <si>
    <t>fed_34</t>
  </si>
  <si>
    <t>H. uvarum + A. syzygii</t>
  </si>
  <si>
    <t>fed_35</t>
  </si>
  <si>
    <t>fed_36</t>
  </si>
  <si>
    <t>fed_37</t>
  </si>
  <si>
    <t>P. terricola + A. syzygii</t>
  </si>
  <si>
    <t>fed_38</t>
  </si>
  <si>
    <t>fed_39</t>
  </si>
  <si>
    <t>fed_40</t>
  </si>
  <si>
    <t>Z. hellenicus + A. syzygii</t>
  </si>
  <si>
    <t>fed_41</t>
  </si>
  <si>
    <t>fed_42</t>
  </si>
  <si>
    <t>fed_43</t>
  </si>
  <si>
    <t>P. occidentalis + A. syzygii</t>
  </si>
  <si>
    <t>fed_44</t>
  </si>
  <si>
    <t>fed_45</t>
  </si>
  <si>
    <t>fed_46</t>
  </si>
  <si>
    <t>Z. bailii + A. syzygii</t>
  </si>
  <si>
    <t>fed_47</t>
  </si>
  <si>
    <t>fed_48</t>
  </si>
  <si>
    <t>fed_49</t>
  </si>
  <si>
    <t>S. vinii + A. syzygii</t>
  </si>
  <si>
    <t>fed_50</t>
  </si>
  <si>
    <t>fed_51</t>
  </si>
  <si>
    <t>fed_52</t>
  </si>
  <si>
    <t>T. delbrueckii + A. syzygii</t>
  </si>
  <si>
    <t>fed_53</t>
  </si>
  <si>
    <t>fed_54</t>
  </si>
  <si>
    <t>fed_55</t>
  </si>
  <si>
    <t>C. zemplinina + G. oxidans + A. syzygii</t>
  </si>
  <si>
    <t>fed_56</t>
  </si>
  <si>
    <t>fed_57</t>
  </si>
  <si>
    <t>fed_58</t>
  </si>
  <si>
    <t>M. pulcherrima + G. oxidans + A. syzygii</t>
  </si>
  <si>
    <t>fed_59</t>
  </si>
  <si>
    <t>fed_60</t>
  </si>
  <si>
    <t>fed_61</t>
  </si>
  <si>
    <t>H. uvarum + G. oxidans + A. syzygii</t>
  </si>
  <si>
    <t>fed_62</t>
  </si>
  <si>
    <t>fed_63</t>
  </si>
  <si>
    <t>fed_64</t>
  </si>
  <si>
    <t>P. terricola + G. oxidans + A. syzygii</t>
  </si>
  <si>
    <t>fed_65</t>
  </si>
  <si>
    <t>fed_66</t>
  </si>
  <si>
    <t>fed_67</t>
  </si>
  <si>
    <t>Z. hellenicus + G. oxidans + A. syzygii</t>
  </si>
  <si>
    <t>fed_68</t>
  </si>
  <si>
    <t>fed_69</t>
  </si>
  <si>
    <t>fed_70</t>
  </si>
  <si>
    <t>P. occidentalis + G. oxidans + A. syzygii</t>
  </si>
  <si>
    <t>fed_71</t>
  </si>
  <si>
    <t>fed_72</t>
  </si>
  <si>
    <t>fed_73</t>
  </si>
  <si>
    <t>Z. bailii + G. oxidans + A. syzygii</t>
  </si>
  <si>
    <t>fed_74</t>
  </si>
  <si>
    <t>fed_75</t>
  </si>
  <si>
    <t>fed_76</t>
  </si>
  <si>
    <t>S. vinii + G. oxidans + A. syzygii</t>
  </si>
  <si>
    <t>fed_77</t>
  </si>
  <si>
    <t>fed_78</t>
  </si>
  <si>
    <t>fed_79</t>
  </si>
  <si>
    <t>T. delbrueckii + G. oxidans + A. syzygii</t>
  </si>
  <si>
    <t>fed_80</t>
  </si>
  <si>
    <t>fed_81</t>
  </si>
  <si>
    <t>fed_82</t>
  </si>
  <si>
    <t xml:space="preserve">C. zemplinina </t>
  </si>
  <si>
    <t>fed_83</t>
  </si>
  <si>
    <t>fed_84</t>
  </si>
  <si>
    <t>fed_85</t>
  </si>
  <si>
    <t xml:space="preserve">M. pulcherrima </t>
  </si>
  <si>
    <t>fed_86</t>
  </si>
  <si>
    <t>fed_87</t>
  </si>
  <si>
    <t>fed_88</t>
  </si>
  <si>
    <t xml:space="preserve">H. uvarum </t>
  </si>
  <si>
    <t>fed_89</t>
  </si>
  <si>
    <t>fed_90</t>
  </si>
  <si>
    <t>fed_91</t>
  </si>
  <si>
    <t xml:space="preserve">P. terricola </t>
  </si>
  <si>
    <t>fed_92</t>
  </si>
  <si>
    <t>fed_93</t>
  </si>
  <si>
    <t>fed_94</t>
  </si>
  <si>
    <t xml:space="preserve">Z. hellenicus </t>
  </si>
  <si>
    <t>fed_95</t>
  </si>
  <si>
    <t>fed_96</t>
  </si>
  <si>
    <t>fed_97</t>
  </si>
  <si>
    <t xml:space="preserve">P. occidentalis </t>
  </si>
  <si>
    <t>fed_98</t>
  </si>
  <si>
    <t>fed_99</t>
  </si>
  <si>
    <t>fed_100</t>
  </si>
  <si>
    <t xml:space="preserve">Z. bailii </t>
  </si>
  <si>
    <t>fed_101</t>
  </si>
  <si>
    <t>fed_102</t>
  </si>
  <si>
    <t>fed_103</t>
  </si>
  <si>
    <t xml:space="preserve">S. vinii </t>
  </si>
  <si>
    <t>fed_104</t>
  </si>
  <si>
    <t>fed_105</t>
  </si>
  <si>
    <t>fed_106</t>
  </si>
  <si>
    <t xml:space="preserve">T. delbrueckii </t>
  </si>
  <si>
    <t>fed_107</t>
  </si>
  <si>
    <t>fed_108</t>
  </si>
  <si>
    <t>fed_109</t>
  </si>
  <si>
    <t xml:space="preserve">G. oxidans </t>
  </si>
  <si>
    <t>fed_110</t>
  </si>
  <si>
    <t>fed_111</t>
  </si>
  <si>
    <t>fed_112</t>
  </si>
  <si>
    <t>A. syzygii</t>
  </si>
  <si>
    <t>fed_113</t>
  </si>
  <si>
    <t>fed_114</t>
  </si>
  <si>
    <t>fed_115</t>
  </si>
  <si>
    <t>G. oxidans + A. syzygii</t>
  </si>
  <si>
    <t>fed_116</t>
  </si>
  <si>
    <t>fed_117</t>
  </si>
  <si>
    <t>fed_118</t>
  </si>
  <si>
    <t>NT + brodo di coltura dei lieviti</t>
  </si>
  <si>
    <t>fed_119</t>
  </si>
  <si>
    <t>fed_120</t>
  </si>
  <si>
    <t>fed_121</t>
  </si>
  <si>
    <t>NT + brodo di coltura dei batteri</t>
  </si>
  <si>
    <t>fed_122</t>
  </si>
  <si>
    <t>fed_123</t>
  </si>
  <si>
    <t>fed_124</t>
  </si>
  <si>
    <t>NT (bacche non ferite)</t>
  </si>
  <si>
    <t>fed_125</t>
  </si>
  <si>
    <t>fed_126</t>
  </si>
  <si>
    <t>fed_2_1</t>
  </si>
  <si>
    <t>fed_2_2</t>
  </si>
  <si>
    <t>fed_2_3</t>
  </si>
  <si>
    <t>fed_2_4</t>
  </si>
  <si>
    <t>fed_2_5</t>
  </si>
  <si>
    <t>fed_2_6</t>
  </si>
  <si>
    <t>fed_2_7</t>
  </si>
  <si>
    <t>fed_2_8</t>
  </si>
  <si>
    <t>fed_2_9</t>
  </si>
  <si>
    <t>fed_2_10</t>
  </si>
  <si>
    <t>fed_2_11</t>
  </si>
  <si>
    <t>fed_2_12</t>
  </si>
  <si>
    <t>fed_2_13</t>
  </si>
  <si>
    <t>fed_2_14</t>
  </si>
  <si>
    <t>fed_2_15</t>
  </si>
  <si>
    <t>fed_2_16</t>
  </si>
  <si>
    <t>fed_2_17</t>
  </si>
  <si>
    <t>fed_2_18</t>
  </si>
  <si>
    <t>fed_2_19</t>
  </si>
  <si>
    <t>fed_2_20</t>
  </si>
  <si>
    <t>fed_2_21</t>
  </si>
  <si>
    <t>fed_2_22</t>
  </si>
  <si>
    <t>fed_2_23</t>
  </si>
  <si>
    <t>fed_2_24</t>
  </si>
  <si>
    <t>fed_2_25</t>
  </si>
  <si>
    <t>fed_2_26</t>
  </si>
  <si>
    <t>fed_2_27</t>
  </si>
  <si>
    <t>fed_2_28</t>
  </si>
  <si>
    <t>fed_2_29</t>
  </si>
  <si>
    <t>fed_2_30</t>
  </si>
  <si>
    <t>NA</t>
  </si>
  <si>
    <t>fed_2_31</t>
  </si>
  <si>
    <t>fed_2_32</t>
  </si>
  <si>
    <t>fed_2_33</t>
  </si>
  <si>
    <t>fed_2_34</t>
  </si>
  <si>
    <t>fed_2_35</t>
  </si>
  <si>
    <t>fed_2_36</t>
  </si>
  <si>
    <t>fed_2_37</t>
  </si>
  <si>
    <t>fed_2_38</t>
  </si>
  <si>
    <t>fed_2_39</t>
  </si>
  <si>
    <t>fed_2_40</t>
  </si>
  <si>
    <t>fed_2_41</t>
  </si>
  <si>
    <t>fed_2_42</t>
  </si>
  <si>
    <t>fed_2_43</t>
  </si>
  <si>
    <t>fed_2_44</t>
  </si>
  <si>
    <t>fed_2_45</t>
  </si>
  <si>
    <t>fed_2_46</t>
  </si>
  <si>
    <t>fed_2_47</t>
  </si>
  <si>
    <t>fed_2_48</t>
  </si>
  <si>
    <t>fed_2_49</t>
  </si>
  <si>
    <t>fed_2_50</t>
  </si>
  <si>
    <t>fed_2_51</t>
  </si>
  <si>
    <t>fed_2_52</t>
  </si>
  <si>
    <t>fed_2_53</t>
  </si>
  <si>
    <t>fed_2_54</t>
  </si>
  <si>
    <t>fed_2_55</t>
  </si>
  <si>
    <t>fed_2_56</t>
  </si>
  <si>
    <t>fed_2_57</t>
  </si>
  <si>
    <t>fed_2_58</t>
  </si>
  <si>
    <t>fed_2_59</t>
  </si>
  <si>
    <t>fed_2_60</t>
  </si>
  <si>
    <t>fed_2_61</t>
  </si>
  <si>
    <t>fed_2_62</t>
  </si>
  <si>
    <t>fed_2_63</t>
  </si>
  <si>
    <t>fed_2_64</t>
  </si>
  <si>
    <t>fed_2_65</t>
  </si>
  <si>
    <t>fed_2_66</t>
  </si>
  <si>
    <t>fed_2_67</t>
  </si>
  <si>
    <t>fed_2_68</t>
  </si>
  <si>
    <t>fed_2_69</t>
  </si>
  <si>
    <t>fed_2_70</t>
  </si>
  <si>
    <t>fed_2_71</t>
  </si>
  <si>
    <t>fed_2_72</t>
  </si>
  <si>
    <t>fed_2_73</t>
  </si>
  <si>
    <t>fed_2_74</t>
  </si>
  <si>
    <t>fed_2_75</t>
  </si>
  <si>
    <t>fed_2_76</t>
  </si>
  <si>
    <t>fed_2_77</t>
  </si>
  <si>
    <t>fed_2_78</t>
  </si>
  <si>
    <t>fed_2_79</t>
  </si>
  <si>
    <t>fed_2_80</t>
  </si>
  <si>
    <t>fed_2_81</t>
  </si>
  <si>
    <t>fed_2_82</t>
  </si>
  <si>
    <t>fed_2_83</t>
  </si>
  <si>
    <t>fed_2_84</t>
  </si>
  <si>
    <t>fed_2_85</t>
  </si>
  <si>
    <t>fed_2_86</t>
  </si>
  <si>
    <t>fed_2_87</t>
  </si>
  <si>
    <t>fed_2_88</t>
  </si>
  <si>
    <t>fed_2_89</t>
  </si>
  <si>
    <t>fed_2_90</t>
  </si>
  <si>
    <t>fed_2_91</t>
  </si>
  <si>
    <t>fed_2_92</t>
  </si>
  <si>
    <t>fed_2_93</t>
  </si>
  <si>
    <t>fed_2_94</t>
  </si>
  <si>
    <t>fed_2_95</t>
  </si>
  <si>
    <t>fed_2_96</t>
  </si>
  <si>
    <t>fed_2_97</t>
  </si>
  <si>
    <t>fed_2_98</t>
  </si>
  <si>
    <t>fed_2_99</t>
  </si>
  <si>
    <t>fed_2_100</t>
  </si>
  <si>
    <t>fed_2_101</t>
  </si>
  <si>
    <t>fed_2_102</t>
  </si>
  <si>
    <t>fed_2_103</t>
  </si>
  <si>
    <t>fed_2_104</t>
  </si>
  <si>
    <t>fed_2_105</t>
  </si>
  <si>
    <t>fed_2_106</t>
  </si>
  <si>
    <t>fed_2_107</t>
  </si>
  <si>
    <t>fed_2_108</t>
  </si>
  <si>
    <t>fed_2_109</t>
  </si>
  <si>
    <t>fed_2_110</t>
  </si>
  <si>
    <t>fed_2_111</t>
  </si>
  <si>
    <t>fed_2_112</t>
  </si>
  <si>
    <t>fed_2_113</t>
  </si>
  <si>
    <t>fed_2_114</t>
  </si>
  <si>
    <t>fed_2_115</t>
  </si>
  <si>
    <t>fed_2_116</t>
  </si>
  <si>
    <t>fed_2_117</t>
  </si>
  <si>
    <t>fed_2_118</t>
  </si>
  <si>
    <t>fed_2_119</t>
  </si>
  <si>
    <t>fed_2_120</t>
  </si>
  <si>
    <t>fed_2_121</t>
  </si>
  <si>
    <t>fed_2_122</t>
  </si>
  <si>
    <t>fed_2_123</t>
  </si>
  <si>
    <t>fed_2_124</t>
  </si>
  <si>
    <t>fed_2_125</t>
  </si>
  <si>
    <t>fed_2_126</t>
  </si>
  <si>
    <t>Gluconic</t>
  </si>
  <si>
    <t>G+F</t>
  </si>
  <si>
    <t>EtOH</t>
  </si>
  <si>
    <t>OK</t>
  </si>
  <si>
    <t>Non tra i parametri richiesti (in caso serve nuova curva di calibrazione)</t>
  </si>
  <si>
    <t>OK ma analizzato anche con kit enzimatico (fare riferimento a quello, assenza di interferenti)</t>
  </si>
  <si>
    <t>C. zemplinina</t>
  </si>
  <si>
    <t>P. terricola</t>
  </si>
  <si>
    <t>Z. hellenicus</t>
  </si>
  <si>
    <t>Z. bailii</t>
  </si>
  <si>
    <t>NT Y</t>
  </si>
  <si>
    <t>NT AAB</t>
  </si>
  <si>
    <t xml:space="preserve">NT </t>
  </si>
  <si>
    <t xml:space="preserve">Gluconobacter oxidans </t>
  </si>
  <si>
    <t>Acetobacter syzygii</t>
  </si>
  <si>
    <t>Gluconobacter oxidans + Acetobacter syzygii</t>
  </si>
  <si>
    <t>Combination</t>
  </si>
  <si>
    <t>yeast alone</t>
  </si>
  <si>
    <t>yeast + Gluconobacter</t>
  </si>
  <si>
    <t>yeast + Acetobacter</t>
  </si>
  <si>
    <t>yeast + Gluconobacter + Acetobacter</t>
  </si>
  <si>
    <t>bacteria alone</t>
  </si>
  <si>
    <t>NT</t>
  </si>
  <si>
    <t>Trial</t>
  </si>
  <si>
    <t>Trial 1</t>
  </si>
  <si>
    <t>Trial 2</t>
  </si>
  <si>
    <t>pH</t>
  </si>
  <si>
    <t>Acidità_titolabile</t>
  </si>
  <si>
    <t>Group</t>
  </si>
  <si>
    <t>Mck_day_5</t>
  </si>
  <si>
    <t>Micro</t>
  </si>
  <si>
    <t>G. oxydans</t>
  </si>
  <si>
    <t>H. uvarum</t>
  </si>
  <si>
    <t>M. pulcherrima</t>
  </si>
  <si>
    <t>P. occidentalis</t>
  </si>
  <si>
    <t>S. vini</t>
  </si>
  <si>
    <t>T. delbrueckii</t>
  </si>
  <si>
    <t>NT + brodo coltura lieviti</t>
  </si>
  <si>
    <t>NT + brodo coltura batteri</t>
  </si>
  <si>
    <t>arc_mck_5</t>
  </si>
  <si>
    <t>Mck_day_10</t>
  </si>
  <si>
    <t>arc_mck_10</t>
  </si>
  <si>
    <t>C. zemplinina + G. oxydans</t>
  </si>
  <si>
    <t>M. pulcherrima + G. oxydans</t>
  </si>
  <si>
    <t>H. uvarum + G. oxydans</t>
  </si>
  <si>
    <t>P. terricola + G. oxydans</t>
  </si>
  <si>
    <t>Z. hellenicus + G. oxydans</t>
  </si>
  <si>
    <t>P. occidentalis + G. oxydans</t>
  </si>
  <si>
    <t>Z. bailii + G. oxydans</t>
  </si>
  <si>
    <t>T. delbrueckii + G. oxydans</t>
  </si>
  <si>
    <t>C. zemplinina + G. oxydans + A. syzygii</t>
  </si>
  <si>
    <t>M. pulcherrima + G. oxydans + A. syzygii</t>
  </si>
  <si>
    <t>H. uvarum + G. oxydans + A. syzygii</t>
  </si>
  <si>
    <t>P. terricola + G. oxydans + A. syzygii</t>
  </si>
  <si>
    <t>Z. hellenicus + G. oxydans + A. syzygii</t>
  </si>
  <si>
    <t>P. occidentalis + G. oxydans + A. syzygii</t>
  </si>
  <si>
    <t>Z. bailii + G. oxydans + A. syzygii</t>
  </si>
  <si>
    <t>T. delbrueckii + G. oxydans + A. syzygii</t>
  </si>
  <si>
    <t xml:space="preserve">G. oxydans </t>
  </si>
  <si>
    <t>G. oxydans + A. syzygii</t>
  </si>
  <si>
    <t>S. vini + G. oxydans</t>
  </si>
  <si>
    <t xml:space="preserve">S. vini </t>
  </si>
  <si>
    <t>S. vini + A. syzygii</t>
  </si>
  <si>
    <t>S. vini + G. oxydans + A. syzygii</t>
  </si>
  <si>
    <t>Tesi</t>
  </si>
  <si>
    <t>Micro_ext</t>
  </si>
  <si>
    <t>Replica</t>
  </si>
  <si>
    <t>McKinney</t>
  </si>
  <si>
    <t>ARC_McK</t>
  </si>
  <si>
    <t>As</t>
  </si>
  <si>
    <t>Td + As</t>
  </si>
  <si>
    <t>Mp + Go</t>
  </si>
  <si>
    <t>Po + As</t>
  </si>
  <si>
    <t>Cz</t>
  </si>
  <si>
    <t>Mp + As</t>
  </si>
  <si>
    <t>Pt</t>
  </si>
  <si>
    <t>Sv</t>
  </si>
  <si>
    <t>Cz + Go</t>
  </si>
  <si>
    <t>Zb</t>
  </si>
  <si>
    <t>Zh + As</t>
  </si>
  <si>
    <t>Cz + As</t>
  </si>
  <si>
    <t>Po + Go</t>
  </si>
  <si>
    <t>Zh + Go</t>
  </si>
  <si>
    <t>Pt + As</t>
  </si>
  <si>
    <t>Zb + As</t>
  </si>
  <si>
    <t>Pt + Go</t>
  </si>
  <si>
    <t>Zb + Go</t>
  </si>
  <si>
    <t>Cz + Go + As</t>
  </si>
  <si>
    <t>Sv + Go</t>
  </si>
  <si>
    <t>Td + Go</t>
  </si>
  <si>
    <t>Sv + As</t>
  </si>
  <si>
    <t>Go</t>
  </si>
  <si>
    <t>Go + As</t>
  </si>
  <si>
    <t>Zh</t>
  </si>
  <si>
    <t>Po</t>
  </si>
  <si>
    <t>Td</t>
  </si>
  <si>
    <t>Go  +  As</t>
  </si>
  <si>
    <t>Mp</t>
  </si>
  <si>
    <t>Hu</t>
  </si>
  <si>
    <t>H. uvarum + As</t>
  </si>
  <si>
    <t>Hu + As</t>
  </si>
  <si>
    <t>H. uvarum + Go</t>
  </si>
  <si>
    <t>Hu + Go</t>
  </si>
  <si>
    <t>H. uvarum + Go + As</t>
  </si>
  <si>
    <t>Hu + Go + As</t>
  </si>
  <si>
    <t>M. pulcherrima + As</t>
  </si>
  <si>
    <t>M. pulcherrima + Go</t>
  </si>
  <si>
    <t>M. pulcherrima + Go + As</t>
  </si>
  <si>
    <t>Mp + Go + As</t>
  </si>
  <si>
    <t>P. occidentalis + As</t>
  </si>
  <si>
    <t>P. occidentalis + Go</t>
  </si>
  <si>
    <t>P. occidentalis + Go + As</t>
  </si>
  <si>
    <t>Po + Go + As</t>
  </si>
  <si>
    <t>P. terricola + As</t>
  </si>
  <si>
    <t>P. terricola + Go</t>
  </si>
  <si>
    <t>P. terricola + Go + As</t>
  </si>
  <si>
    <t>Pt + Go + As</t>
  </si>
  <si>
    <t>S. vini + As</t>
  </si>
  <si>
    <t>S. vini + Go</t>
  </si>
  <si>
    <t>S. vini + Go + As</t>
  </si>
  <si>
    <t>Sv + Go + As</t>
  </si>
  <si>
    <t>T. delbrueckii + As</t>
  </si>
  <si>
    <t>T. delbrueckii + Go</t>
  </si>
  <si>
    <t>T. delbrueckii + Go + As</t>
  </si>
  <si>
    <t>Td + Go + As</t>
  </si>
  <si>
    <t>Z. bailii + As</t>
  </si>
  <si>
    <t>Z. bailii + Go</t>
  </si>
  <si>
    <t>Z. bailii + Go + As</t>
  </si>
  <si>
    <t>Zb + Go + As</t>
  </si>
  <si>
    <t>Z. hellenicus + As</t>
  </si>
  <si>
    <t>Z. hellenicus + Go</t>
  </si>
  <si>
    <t>Z. hellenicus + Go + As</t>
  </si>
  <si>
    <t>Zh + Go + As</t>
  </si>
  <si>
    <t>Clu_ord</t>
  </si>
  <si>
    <t>Combination_ext</t>
  </si>
  <si>
    <t>NSY alone</t>
  </si>
  <si>
    <t>NSY + Go</t>
  </si>
  <si>
    <t>NSY + As</t>
  </si>
  <si>
    <t>NSY + Go + As</t>
  </si>
  <si>
    <t>AAB alone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</si>
</sst>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"/>
    <numFmt numFmtId="165" formatCode="0.0"/>
  </numFmts>
  <fonts count="8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charset val="1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5">
    <xf numFmtId="0" fontId="0" fillId="0" borderId="0" xfId="0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8" xfId="0" applyBorder="1"/>
    <xf numFmtId="0" fontId="0" fillId="0" borderId="1" xfId="0" applyBorder="1"/>
    <xf numFmtId="0" fontId="0" fillId="0" borderId="7" xfId="0" applyBorder="1"/>
    <xf numFmtId="0" fontId="0" fillId="0" borderId="2" xfId="0" applyBorder="1"/>
    <xf numFmtId="0" fontId="2" fillId="0" borderId="0" xfId="0" applyFont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0" borderId="10" xfId="0" applyFont="1" applyBorder="1"/>
    <xf numFmtId="0" fontId="0" fillId="0" borderId="14" xfId="0" applyBorder="1"/>
    <xf numFmtId="0" fontId="2" fillId="0" borderId="11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9" xfId="0" applyFont="1" applyBorder="1"/>
    <xf numFmtId="0" fontId="2" fillId="0" borderId="19" xfId="0" applyFont="1" applyBorder="1"/>
    <xf numFmtId="0" fontId="0" fillId="0" borderId="17" xfId="0" applyBorder="1" applyAlignment="1">
      <alignment horizontal="center"/>
    </xf>
    <xf numFmtId="0" fontId="0" fillId="0" borderId="19" xfId="0" applyBorder="1"/>
    <xf numFmtId="0" fontId="0" fillId="0" borderId="18" xfId="0" applyBorder="1"/>
    <xf numFmtId="0" fontId="2" fillId="0" borderId="13" xfId="0" applyFont="1" applyBorder="1"/>
    <xf numFmtId="0" fontId="2" fillId="2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164" fontId="0" fillId="0" borderId="0" xfId="0" applyNumberFormat="1" applyAlignment="1">
      <alignment horizontal="center"/>
    </xf>
    <xf numFmtId="164" fontId="0" fillId="0" borderId="7" xfId="0" applyNumberFormat="1" applyBorder="1"/>
    <xf numFmtId="164" fontId="0" fillId="0" borderId="0" xfId="0" applyNumberFormat="1"/>
    <xf numFmtId="164" fontId="0" fillId="0" borderId="8" xfId="0" applyNumberFormat="1" applyBorder="1"/>
    <xf numFmtId="164" fontId="0" fillId="0" borderId="10" xfId="0" applyNumberFormat="1" applyBorder="1"/>
    <xf numFmtId="0" fontId="5" fillId="0" borderId="0" xfId="0" applyFont="1"/>
    <xf numFmtId="164" fontId="6" fillId="0" borderId="0" xfId="0" applyNumberFormat="1" applyFont="1" applyAlignment="1">
      <alignment horizontal="center"/>
    </xf>
    <xf numFmtId="164" fontId="6" fillId="0" borderId="7" xfId="0" applyNumberFormat="1" applyFont="1" applyBorder="1"/>
    <xf numFmtId="164" fontId="6" fillId="0" borderId="0" xfId="0" applyNumberFormat="1" applyFont="1"/>
    <xf numFmtId="164" fontId="6" fillId="0" borderId="8" xfId="0" applyNumberFormat="1" applyFont="1" applyBorder="1"/>
    <xf numFmtId="164" fontId="0" fillId="0" borderId="4" xfId="0" applyNumberFormat="1" applyBorder="1"/>
    <xf numFmtId="164" fontId="0" fillId="0" borderId="6" xfId="0" applyNumberFormat="1" applyBorder="1"/>
    <xf numFmtId="2" fontId="0" fillId="0" borderId="0" xfId="0" applyNumberFormat="1"/>
    <xf numFmtId="0" fontId="0" fillId="3" borderId="0" xfId="0" applyFill="1"/>
    <xf numFmtId="0" fontId="0" fillId="2" borderId="0" xfId="0" applyFill="1"/>
    <xf numFmtId="0" fontId="0" fillId="4" borderId="0" xfId="0" applyFill="1"/>
    <xf numFmtId="2" fontId="0" fillId="0" borderId="0" xfId="1" applyNumberFormat="1" applyFont="1"/>
    <xf numFmtId="2" fontId="0" fillId="3" borderId="0" xfId="1" applyNumberFormat="1" applyFont="1" applyFill="1"/>
    <xf numFmtId="0" fontId="0" fillId="3" borderId="0" xfId="0" applyNumberFormat="1" applyFill="1"/>
    <xf numFmtId="0" fontId="7" fillId="5" borderId="0" xfId="0" applyFont="1" applyFill="1"/>
    <xf numFmtId="164" fontId="7" fillId="0" borderId="0" xfId="0" applyNumberFormat="1" applyFont="1"/>
    <xf numFmtId="165" fontId="0" fillId="0" borderId="0" xfId="0" applyNumberFormat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257"/>
  <sheetViews>
    <sheetView topLeftCell="A218" zoomScale="75" zoomScaleNormal="125" workbookViewId="0">
      <selection activeCell="F194" sqref="F194"/>
    </sheetView>
  </sheetViews>
  <sheetFormatPr defaultColWidth="11" defaultRowHeight="15.75" customHeight="1"/>
  <cols>
    <col min="2" max="2" width="29.88671875" bestFit="1" customWidth="1"/>
    <col min="8" max="8" width="11" style="41"/>
    <col min="14" max="14" width="11" style="47"/>
  </cols>
  <sheetData>
    <row r="2" spans="1:29" ht="15">
      <c r="C2" s="19"/>
      <c r="D2" s="61" t="s">
        <v>0</v>
      </c>
      <c r="E2" s="61"/>
      <c r="F2" s="20"/>
      <c r="G2" s="61" t="s">
        <v>1</v>
      </c>
      <c r="H2" s="61"/>
      <c r="I2" s="20"/>
      <c r="J2" s="61" t="s">
        <v>2</v>
      </c>
      <c r="K2" s="61"/>
      <c r="L2" s="20"/>
      <c r="M2" s="61" t="s">
        <v>3</v>
      </c>
      <c r="N2" s="61"/>
      <c r="O2" s="20"/>
      <c r="P2" s="61" t="s">
        <v>4</v>
      </c>
      <c r="Q2" s="64"/>
      <c r="R2" s="12"/>
      <c r="S2" s="61" t="s">
        <v>5</v>
      </c>
      <c r="T2" s="64"/>
      <c r="U2" s="12"/>
      <c r="V2" s="61" t="s">
        <v>6</v>
      </c>
      <c r="W2" s="64"/>
      <c r="X2" s="12"/>
      <c r="Y2" s="61" t="s">
        <v>7</v>
      </c>
      <c r="Z2" s="64"/>
      <c r="AA2" s="25"/>
      <c r="AB2" s="12" t="s">
        <v>5</v>
      </c>
      <c r="AC2" s="13"/>
    </row>
    <row r="3" spans="1:29" ht="15">
      <c r="A3" t="s">
        <v>8</v>
      </c>
      <c r="B3" t="s">
        <v>9</v>
      </c>
      <c r="C3" s="17"/>
      <c r="D3" s="62" t="s">
        <v>10</v>
      </c>
      <c r="E3" s="62"/>
      <c r="F3" s="21"/>
      <c r="G3" s="62" t="s">
        <v>11</v>
      </c>
      <c r="H3" s="62"/>
      <c r="I3" s="21"/>
      <c r="J3" s="62" t="s">
        <v>12</v>
      </c>
      <c r="K3" s="62"/>
      <c r="L3" s="21"/>
      <c r="M3" s="62">
        <v>12.83</v>
      </c>
      <c r="N3" s="62"/>
      <c r="O3" s="21"/>
      <c r="P3" s="62">
        <v>16.3</v>
      </c>
      <c r="Q3" s="63"/>
      <c r="R3" s="6"/>
      <c r="S3" s="62" t="s">
        <v>13</v>
      </c>
      <c r="T3" s="63"/>
      <c r="U3" s="6"/>
      <c r="V3" s="62"/>
      <c r="W3" s="63"/>
      <c r="X3" s="6"/>
      <c r="Y3" s="62">
        <v>19.350000000000001</v>
      </c>
      <c r="Z3" s="63"/>
      <c r="AB3" s="6" t="s">
        <v>14</v>
      </c>
      <c r="AC3" s="1"/>
    </row>
    <row r="4" spans="1:29" ht="15.75" customHeight="1">
      <c r="C4" s="18" t="s">
        <v>15</v>
      </c>
      <c r="D4" s="16" t="s">
        <v>16</v>
      </c>
      <c r="E4" s="6" t="s">
        <v>17</v>
      </c>
      <c r="F4" s="18" t="s">
        <v>15</v>
      </c>
      <c r="G4" s="16" t="s">
        <v>16</v>
      </c>
      <c r="H4" s="39" t="s">
        <v>18</v>
      </c>
      <c r="I4" s="18" t="s">
        <v>15</v>
      </c>
      <c r="J4" s="6" t="s">
        <v>16</v>
      </c>
      <c r="K4" s="6" t="s">
        <v>18</v>
      </c>
      <c r="L4" s="18" t="s">
        <v>15</v>
      </c>
      <c r="M4" s="6" t="s">
        <v>16</v>
      </c>
      <c r="N4" s="45" t="s">
        <v>18</v>
      </c>
      <c r="O4" s="18" t="s">
        <v>15</v>
      </c>
      <c r="P4" s="16" t="s">
        <v>16</v>
      </c>
      <c r="Q4" s="32" t="s">
        <v>17</v>
      </c>
      <c r="R4" s="18" t="s">
        <v>15</v>
      </c>
      <c r="S4" s="16" t="s">
        <v>16</v>
      </c>
      <c r="T4" s="32" t="s">
        <v>17</v>
      </c>
      <c r="U4" s="18" t="s">
        <v>15</v>
      </c>
      <c r="V4" s="16" t="s">
        <v>16</v>
      </c>
      <c r="W4" s="1" t="s">
        <v>17</v>
      </c>
      <c r="X4" s="18" t="s">
        <v>15</v>
      </c>
      <c r="Y4" s="6" t="s">
        <v>16</v>
      </c>
      <c r="Z4" s="1" t="s">
        <v>17</v>
      </c>
      <c r="AA4" s="18" t="s">
        <v>15</v>
      </c>
      <c r="AB4" s="6" t="s">
        <v>16</v>
      </c>
      <c r="AC4" s="1" t="s">
        <v>17</v>
      </c>
    </row>
    <row r="5" spans="1:29" ht="15.75" customHeight="1">
      <c r="A5" s="8" t="s">
        <v>19</v>
      </c>
      <c r="B5" s="37" t="s">
        <v>20</v>
      </c>
      <c r="C5" s="11">
        <v>8.1630000000000003</v>
      </c>
      <c r="D5" s="11">
        <v>1371031</v>
      </c>
      <c r="E5" s="29"/>
      <c r="F5" s="11">
        <v>10.803000000000001</v>
      </c>
      <c r="G5" s="11">
        <v>526770</v>
      </c>
      <c r="H5" s="40"/>
      <c r="I5" s="26">
        <v>11.452999999999999</v>
      </c>
      <c r="J5" s="11">
        <v>5828025</v>
      </c>
      <c r="K5" s="40"/>
      <c r="L5" s="11">
        <v>12.833</v>
      </c>
      <c r="M5" s="11">
        <v>2175586</v>
      </c>
      <c r="N5" s="46"/>
      <c r="O5" s="17"/>
      <c r="Q5" s="44"/>
      <c r="R5" s="11">
        <v>16.832999999999998</v>
      </c>
      <c r="S5" s="11">
        <v>323154</v>
      </c>
      <c r="T5" s="3"/>
      <c r="W5" s="34"/>
      <c r="X5" s="11">
        <v>19.353000000000002</v>
      </c>
      <c r="Y5" s="28">
        <v>1775071</v>
      </c>
      <c r="Z5" s="47"/>
      <c r="AB5" s="9"/>
      <c r="AC5" s="10"/>
    </row>
    <row r="6" spans="1:29" ht="15.75" customHeight="1">
      <c r="A6" s="2" t="s">
        <v>21</v>
      </c>
      <c r="B6" s="37" t="s">
        <v>20</v>
      </c>
      <c r="C6" s="11">
        <v>8.1669999999999998</v>
      </c>
      <c r="D6" s="11">
        <v>898723</v>
      </c>
      <c r="E6" s="30"/>
      <c r="F6" s="11">
        <v>10.797000000000001</v>
      </c>
      <c r="G6" s="11">
        <v>461362</v>
      </c>
      <c r="I6" s="26">
        <v>11.45</v>
      </c>
      <c r="J6" s="11">
        <v>5689857</v>
      </c>
      <c r="K6" s="41"/>
      <c r="L6" s="11">
        <v>12.83</v>
      </c>
      <c r="M6" s="11">
        <v>2123328</v>
      </c>
      <c r="O6" s="17"/>
      <c r="Q6" s="44"/>
      <c r="R6" s="11">
        <v>16.827000000000002</v>
      </c>
      <c r="S6" s="11">
        <v>358537</v>
      </c>
      <c r="T6" s="3"/>
      <c r="U6" s="11">
        <v>18.837</v>
      </c>
      <c r="V6" s="11">
        <v>52368</v>
      </c>
      <c r="W6" s="14"/>
      <c r="X6" s="11">
        <v>19.350000000000001</v>
      </c>
      <c r="Y6" s="11">
        <v>1585612</v>
      </c>
      <c r="Z6" s="49"/>
      <c r="AC6" s="3"/>
    </row>
    <row r="7" spans="1:29" ht="15.75" customHeight="1">
      <c r="A7" s="2" t="s">
        <v>22</v>
      </c>
      <c r="B7" s="37" t="s">
        <v>20</v>
      </c>
      <c r="C7" s="11">
        <v>8.17</v>
      </c>
      <c r="D7" s="11">
        <v>921524</v>
      </c>
      <c r="E7" s="30"/>
      <c r="F7" s="11">
        <v>10.792999999999999</v>
      </c>
      <c r="G7" s="11">
        <v>549901</v>
      </c>
      <c r="I7" s="26">
        <v>11.446999999999999</v>
      </c>
      <c r="J7" s="11">
        <v>5510845</v>
      </c>
      <c r="K7" s="41"/>
      <c r="L7" s="11">
        <v>12.833</v>
      </c>
      <c r="M7" s="11">
        <v>2057704</v>
      </c>
      <c r="O7" s="17"/>
      <c r="Q7" s="44"/>
      <c r="R7" s="11">
        <v>16.803000000000001</v>
      </c>
      <c r="S7" s="11">
        <v>384147</v>
      </c>
      <c r="T7" s="3"/>
      <c r="U7" s="11">
        <v>18.716999999999999</v>
      </c>
      <c r="V7" s="11">
        <v>56731</v>
      </c>
      <c r="W7" s="14"/>
      <c r="X7" s="11">
        <v>19.350000000000001</v>
      </c>
      <c r="Y7" s="11">
        <v>1608290</v>
      </c>
      <c r="Z7" s="49"/>
      <c r="AC7" s="3"/>
    </row>
    <row r="8" spans="1:29" ht="15.75" customHeight="1">
      <c r="A8" s="2" t="s">
        <v>23</v>
      </c>
      <c r="B8" s="37" t="s">
        <v>24</v>
      </c>
      <c r="C8" s="11">
        <v>8.16</v>
      </c>
      <c r="D8" s="11">
        <v>1491344</v>
      </c>
      <c r="E8" s="30"/>
      <c r="F8" s="11">
        <v>10.787000000000001</v>
      </c>
      <c r="G8" s="11">
        <v>431688</v>
      </c>
      <c r="I8" s="26">
        <v>11.443</v>
      </c>
      <c r="J8" s="11">
        <v>4939281</v>
      </c>
      <c r="K8" s="41"/>
      <c r="L8" s="11">
        <v>12.83</v>
      </c>
      <c r="M8" s="11">
        <v>1808738</v>
      </c>
      <c r="O8" s="26">
        <v>16.273</v>
      </c>
      <c r="P8" s="11">
        <v>316802</v>
      </c>
      <c r="Q8" s="44"/>
      <c r="T8" s="3"/>
      <c r="U8" s="11">
        <v>18.847000000000001</v>
      </c>
      <c r="V8" s="11">
        <v>38114</v>
      </c>
      <c r="W8" s="14"/>
      <c r="X8" s="11">
        <v>19.350000000000001</v>
      </c>
      <c r="Y8" s="11">
        <v>1205177</v>
      </c>
      <c r="Z8" s="49"/>
      <c r="AC8" s="3"/>
    </row>
    <row r="9" spans="1:29" ht="15.75" customHeight="1">
      <c r="A9" s="2" t="s">
        <v>25</v>
      </c>
      <c r="B9" s="37" t="s">
        <v>24</v>
      </c>
      <c r="C9" s="11">
        <v>8.17</v>
      </c>
      <c r="D9" s="11">
        <v>908930</v>
      </c>
      <c r="E9" s="30"/>
      <c r="F9" s="11">
        <v>10.773</v>
      </c>
      <c r="G9" s="11">
        <v>500853</v>
      </c>
      <c r="I9" s="26">
        <v>11.446999999999999</v>
      </c>
      <c r="J9" s="11">
        <v>5627372</v>
      </c>
      <c r="K9" s="41"/>
      <c r="L9" s="11">
        <v>12.833</v>
      </c>
      <c r="M9" s="11">
        <v>2023903</v>
      </c>
      <c r="O9" s="17"/>
      <c r="Q9" s="44"/>
      <c r="R9" s="11">
        <v>16.803000000000001</v>
      </c>
      <c r="S9" s="11">
        <v>370748</v>
      </c>
      <c r="T9" s="3"/>
      <c r="U9" s="11">
        <v>18.257000000000001</v>
      </c>
      <c r="V9" s="11">
        <v>54385</v>
      </c>
      <c r="W9" s="14"/>
      <c r="X9" s="11">
        <v>19.350000000000001</v>
      </c>
      <c r="Y9" s="11">
        <v>1619042</v>
      </c>
      <c r="Z9" s="49"/>
      <c r="AC9" s="3"/>
    </row>
    <row r="10" spans="1:29" ht="15.75" customHeight="1">
      <c r="A10" s="2" t="s">
        <v>26</v>
      </c>
      <c r="B10" s="37" t="s">
        <v>24</v>
      </c>
      <c r="C10" s="11">
        <v>8.1669999999999998</v>
      </c>
      <c r="D10" s="11">
        <v>915596</v>
      </c>
      <c r="E10" s="30"/>
      <c r="F10" s="11">
        <v>10.77</v>
      </c>
      <c r="G10" s="11">
        <v>479695</v>
      </c>
      <c r="I10" s="26">
        <v>11.443</v>
      </c>
      <c r="J10" s="11">
        <v>5948777</v>
      </c>
      <c r="K10" s="41"/>
      <c r="L10" s="11">
        <v>12.83</v>
      </c>
      <c r="M10" s="11">
        <v>1961687</v>
      </c>
      <c r="O10" s="17"/>
      <c r="Q10" s="44"/>
      <c r="R10" s="11">
        <v>16.786999999999999</v>
      </c>
      <c r="S10" s="11">
        <v>368303</v>
      </c>
      <c r="T10" s="3"/>
      <c r="U10" s="11">
        <v>18.829999999999998</v>
      </c>
      <c r="V10" s="11">
        <v>77434</v>
      </c>
      <c r="W10" s="14"/>
      <c r="X10" s="11">
        <v>19.347000000000001</v>
      </c>
      <c r="Y10" s="11">
        <v>1635279</v>
      </c>
      <c r="Z10" s="49"/>
      <c r="AC10" s="3"/>
    </row>
    <row r="11" spans="1:29" ht="15.75" customHeight="1">
      <c r="A11" s="2" t="s">
        <v>27</v>
      </c>
      <c r="B11" s="37" t="s">
        <v>28</v>
      </c>
      <c r="C11" s="11">
        <v>8.16</v>
      </c>
      <c r="D11" s="11">
        <v>1575463</v>
      </c>
      <c r="E11" s="30"/>
      <c r="F11" s="11">
        <v>10.79</v>
      </c>
      <c r="G11" s="11">
        <v>483649</v>
      </c>
      <c r="I11" s="26">
        <v>11.443</v>
      </c>
      <c r="J11" s="11">
        <v>6423232</v>
      </c>
      <c r="K11" s="41"/>
      <c r="L11" s="11">
        <v>12.83</v>
      </c>
      <c r="M11" s="11">
        <v>1891544</v>
      </c>
      <c r="O11" s="26">
        <v>16.292999999999999</v>
      </c>
      <c r="P11" s="11">
        <v>428553</v>
      </c>
      <c r="Q11" s="44"/>
      <c r="T11" s="3"/>
      <c r="U11" s="11">
        <v>18.837</v>
      </c>
      <c r="V11" s="11">
        <v>63381</v>
      </c>
      <c r="W11" s="14"/>
      <c r="X11" s="11">
        <v>19.347000000000001</v>
      </c>
      <c r="Y11" s="11">
        <v>1686824</v>
      </c>
      <c r="Z11" s="49"/>
      <c r="AC11" s="3"/>
    </row>
    <row r="12" spans="1:29" ht="15.75" customHeight="1">
      <c r="A12" s="2" t="s">
        <v>29</v>
      </c>
      <c r="B12" s="37" t="s">
        <v>28</v>
      </c>
      <c r="C12" s="11">
        <v>8.1669999999999998</v>
      </c>
      <c r="D12" s="11">
        <v>855998</v>
      </c>
      <c r="E12" s="30"/>
      <c r="F12" s="11">
        <v>10.792999999999999</v>
      </c>
      <c r="G12" s="11">
        <v>423316</v>
      </c>
      <c r="I12" s="26">
        <v>11.44</v>
      </c>
      <c r="J12" s="11">
        <v>5570412</v>
      </c>
      <c r="K12" s="41"/>
      <c r="L12" s="11">
        <v>12.83</v>
      </c>
      <c r="M12" s="11">
        <v>1922612</v>
      </c>
      <c r="O12" s="26">
        <v>16.292999999999999</v>
      </c>
      <c r="P12" s="11">
        <v>381207</v>
      </c>
      <c r="Q12" s="44"/>
      <c r="T12" s="3"/>
      <c r="U12" s="11">
        <v>18.843</v>
      </c>
      <c r="V12" s="11">
        <v>46055</v>
      </c>
      <c r="W12" s="14"/>
      <c r="X12" s="11">
        <v>19.347000000000001</v>
      </c>
      <c r="Y12" s="11">
        <v>1495255</v>
      </c>
      <c r="Z12" s="49"/>
      <c r="AC12" s="3"/>
    </row>
    <row r="13" spans="1:29" ht="15.75" customHeight="1">
      <c r="A13" s="2" t="s">
        <v>30</v>
      </c>
      <c r="B13" s="37" t="s">
        <v>28</v>
      </c>
      <c r="C13" s="11">
        <v>8.1669999999999998</v>
      </c>
      <c r="D13" s="11">
        <v>807299</v>
      </c>
      <c r="E13" s="30"/>
      <c r="F13" s="11">
        <v>10.792999999999999</v>
      </c>
      <c r="G13" s="11">
        <v>452999</v>
      </c>
      <c r="I13" s="26">
        <v>11.443</v>
      </c>
      <c r="J13" s="11">
        <v>5629871</v>
      </c>
      <c r="K13" s="41"/>
      <c r="L13" s="11">
        <v>12.83</v>
      </c>
      <c r="M13" s="11">
        <v>1857314</v>
      </c>
      <c r="O13" s="26">
        <v>16.297000000000001</v>
      </c>
      <c r="P13" s="11">
        <v>381474</v>
      </c>
      <c r="Q13" s="44"/>
      <c r="T13" s="3"/>
      <c r="U13" s="11">
        <v>18.829999999999998</v>
      </c>
      <c r="V13" s="11">
        <v>47733</v>
      </c>
      <c r="W13" s="14"/>
      <c r="X13" s="11">
        <v>19.350000000000001</v>
      </c>
      <c r="Y13" s="11">
        <v>1620750</v>
      </c>
      <c r="Z13" s="49"/>
      <c r="AC13" s="3"/>
    </row>
    <row r="14" spans="1:29" ht="15.75" customHeight="1">
      <c r="A14" s="2" t="s">
        <v>31</v>
      </c>
      <c r="B14" s="37" t="s">
        <v>32</v>
      </c>
      <c r="C14" s="11">
        <v>8.16</v>
      </c>
      <c r="D14" s="11">
        <v>1488910</v>
      </c>
      <c r="E14" s="30"/>
      <c r="F14" s="11">
        <v>10.797000000000001</v>
      </c>
      <c r="G14" s="11">
        <v>477072</v>
      </c>
      <c r="I14" s="26">
        <v>11.443</v>
      </c>
      <c r="J14" s="11">
        <v>5332357</v>
      </c>
      <c r="K14" s="41"/>
      <c r="L14" s="11">
        <v>12.833</v>
      </c>
      <c r="M14" s="11">
        <v>2021333</v>
      </c>
      <c r="O14" s="26">
        <v>16.297000000000001</v>
      </c>
      <c r="P14" s="11">
        <v>320883</v>
      </c>
      <c r="Q14" s="44"/>
      <c r="T14" s="3"/>
      <c r="U14" s="11">
        <v>18.233000000000001</v>
      </c>
      <c r="V14" s="11">
        <v>4098</v>
      </c>
      <c r="W14" s="14"/>
      <c r="X14" s="11">
        <v>19.350000000000001</v>
      </c>
      <c r="Y14" s="11">
        <v>1410586</v>
      </c>
      <c r="Z14" s="49"/>
      <c r="AC14" s="3"/>
    </row>
    <row r="15" spans="1:29" ht="15.75" customHeight="1">
      <c r="A15" s="2" t="s">
        <v>33</v>
      </c>
      <c r="B15" s="37" t="s">
        <v>32</v>
      </c>
      <c r="C15" s="11">
        <v>8.17</v>
      </c>
      <c r="D15" s="11">
        <v>798294</v>
      </c>
      <c r="E15" s="30"/>
      <c r="F15" s="11">
        <v>10.787000000000001</v>
      </c>
      <c r="G15" s="11">
        <v>494990</v>
      </c>
      <c r="I15" s="26">
        <v>11.446999999999999</v>
      </c>
      <c r="J15" s="11">
        <v>6597105</v>
      </c>
      <c r="K15" s="41"/>
      <c r="L15" s="11">
        <v>12.833</v>
      </c>
      <c r="M15" s="11">
        <v>2100249</v>
      </c>
      <c r="O15" s="26">
        <v>16.297000000000001</v>
      </c>
      <c r="P15" s="11">
        <v>433522</v>
      </c>
      <c r="Q15" s="44"/>
      <c r="T15" s="3"/>
      <c r="U15" s="11">
        <v>18.510000000000002</v>
      </c>
      <c r="V15" s="11">
        <v>22842</v>
      </c>
      <c r="W15" s="14"/>
      <c r="X15" s="11">
        <v>19.347000000000001</v>
      </c>
      <c r="Y15" s="11">
        <v>1804326</v>
      </c>
      <c r="Z15" s="49"/>
      <c r="AC15" s="3"/>
    </row>
    <row r="16" spans="1:29" ht="15.75" customHeight="1">
      <c r="A16" s="2" t="s">
        <v>34</v>
      </c>
      <c r="B16" s="37" t="s">
        <v>32</v>
      </c>
      <c r="C16" s="11">
        <v>8.1669999999999998</v>
      </c>
      <c r="D16" s="11">
        <v>956644</v>
      </c>
      <c r="E16" s="30"/>
      <c r="F16" s="11">
        <v>10.782999999999999</v>
      </c>
      <c r="G16" s="11">
        <v>513224</v>
      </c>
      <c r="I16" s="26">
        <v>11.443</v>
      </c>
      <c r="J16" s="11">
        <v>6258347</v>
      </c>
      <c r="K16" s="41"/>
      <c r="L16" s="11">
        <v>12.83</v>
      </c>
      <c r="M16" s="11">
        <v>2101044</v>
      </c>
      <c r="O16" s="26">
        <v>16.29</v>
      </c>
      <c r="P16" s="11">
        <v>428697</v>
      </c>
      <c r="Q16" s="44"/>
      <c r="T16" s="3"/>
      <c r="U16" s="11">
        <v>18.832999999999998</v>
      </c>
      <c r="V16" s="11">
        <v>25601</v>
      </c>
      <c r="W16" s="14"/>
      <c r="X16" s="11">
        <v>19.343</v>
      </c>
      <c r="Y16" s="11">
        <v>1709016</v>
      </c>
      <c r="Z16" s="49"/>
      <c r="AC16" s="3"/>
    </row>
    <row r="17" spans="1:29" ht="15.75" customHeight="1">
      <c r="A17" s="2" t="s">
        <v>35</v>
      </c>
      <c r="B17" s="37" t="s">
        <v>36</v>
      </c>
      <c r="C17" s="11">
        <v>8.16</v>
      </c>
      <c r="D17" s="11">
        <v>1270559</v>
      </c>
      <c r="E17" s="30"/>
      <c r="F17" s="11">
        <v>10.787000000000001</v>
      </c>
      <c r="G17" s="11">
        <v>407604</v>
      </c>
      <c r="I17" s="26">
        <v>11.443</v>
      </c>
      <c r="J17" s="11">
        <v>5912232</v>
      </c>
      <c r="K17" s="41"/>
      <c r="L17" s="11">
        <v>12.83</v>
      </c>
      <c r="M17" s="11">
        <v>1933431</v>
      </c>
      <c r="O17" s="17"/>
      <c r="Q17" s="44"/>
      <c r="R17" s="11">
        <v>16.8</v>
      </c>
      <c r="S17" s="11">
        <v>327058</v>
      </c>
      <c r="T17" s="3"/>
      <c r="U17" s="11">
        <v>18.832999999999998</v>
      </c>
      <c r="V17" s="11">
        <v>30733</v>
      </c>
      <c r="W17" s="14"/>
      <c r="X17" s="11">
        <v>19.350000000000001</v>
      </c>
      <c r="Y17" s="11">
        <v>1447874</v>
      </c>
      <c r="Z17" s="49"/>
      <c r="AC17" s="3"/>
    </row>
    <row r="18" spans="1:29" ht="15.75" customHeight="1">
      <c r="A18" s="2" t="s">
        <v>37</v>
      </c>
      <c r="B18" s="37" t="s">
        <v>36</v>
      </c>
      <c r="C18" s="11">
        <v>8.17</v>
      </c>
      <c r="D18" s="11">
        <v>663584</v>
      </c>
      <c r="E18" s="30"/>
      <c r="F18" s="11">
        <v>10.792999999999999</v>
      </c>
      <c r="G18" s="11">
        <v>387665</v>
      </c>
      <c r="I18" s="26">
        <v>11.44</v>
      </c>
      <c r="J18" s="11">
        <v>5111594</v>
      </c>
      <c r="K18" s="41"/>
      <c r="L18" s="11">
        <v>12.83</v>
      </c>
      <c r="M18" s="11">
        <v>1862465</v>
      </c>
      <c r="O18" s="17"/>
      <c r="Q18" s="44"/>
      <c r="R18" s="11">
        <v>16.8</v>
      </c>
      <c r="S18" s="11">
        <v>345023</v>
      </c>
      <c r="T18" s="3"/>
      <c r="U18" s="11">
        <v>18.847000000000001</v>
      </c>
      <c r="V18" s="11">
        <v>38707</v>
      </c>
      <c r="W18" s="14"/>
      <c r="X18" s="11">
        <v>19.347000000000001</v>
      </c>
      <c r="Y18" s="11">
        <v>1296015</v>
      </c>
      <c r="Z18" s="49"/>
      <c r="AC18" s="3"/>
    </row>
    <row r="19" spans="1:29" ht="15.75" customHeight="1">
      <c r="A19" s="2" t="s">
        <v>38</v>
      </c>
      <c r="B19" s="37" t="s">
        <v>36</v>
      </c>
      <c r="C19" s="11">
        <v>8.1769999999999996</v>
      </c>
      <c r="D19" s="11">
        <v>650251</v>
      </c>
      <c r="E19" s="30"/>
      <c r="F19" s="11">
        <v>10.792999999999999</v>
      </c>
      <c r="G19" s="11">
        <v>378459</v>
      </c>
      <c r="I19" s="26">
        <v>11.443</v>
      </c>
      <c r="J19" s="11">
        <v>5330470</v>
      </c>
      <c r="K19" s="41"/>
      <c r="L19" s="11">
        <v>12.83</v>
      </c>
      <c r="M19" s="11">
        <v>1755084</v>
      </c>
      <c r="O19" s="17"/>
      <c r="Q19" s="44"/>
      <c r="R19" s="11">
        <v>16.792999999999999</v>
      </c>
      <c r="S19" s="11">
        <v>357425</v>
      </c>
      <c r="T19" s="3"/>
      <c r="U19" s="11">
        <v>18.46</v>
      </c>
      <c r="V19" s="11">
        <v>26346</v>
      </c>
      <c r="W19" s="14"/>
      <c r="X19" s="11">
        <v>19.347000000000001</v>
      </c>
      <c r="Y19" s="11">
        <v>1384058</v>
      </c>
      <c r="Z19" s="49"/>
      <c r="AC19" s="3"/>
    </row>
    <row r="20" spans="1:29" ht="15.75" customHeight="1">
      <c r="A20" s="2" t="s">
        <v>39</v>
      </c>
      <c r="B20" s="37" t="s">
        <v>40</v>
      </c>
      <c r="C20" s="11">
        <v>8.157</v>
      </c>
      <c r="D20" s="11">
        <v>1335135</v>
      </c>
      <c r="E20" s="30"/>
      <c r="F20" s="11">
        <v>10.8</v>
      </c>
      <c r="G20" s="11">
        <v>308079</v>
      </c>
      <c r="I20" s="26">
        <v>11.43</v>
      </c>
      <c r="J20" s="11">
        <v>3880203</v>
      </c>
      <c r="K20" s="41"/>
      <c r="L20" s="11">
        <v>12.827</v>
      </c>
      <c r="M20" s="11">
        <v>1578398</v>
      </c>
      <c r="O20" s="26">
        <v>16.28</v>
      </c>
      <c r="P20" s="11">
        <v>299337</v>
      </c>
      <c r="Q20" s="44"/>
      <c r="T20" s="3"/>
      <c r="U20" s="11">
        <v>18.446999999999999</v>
      </c>
      <c r="V20" s="11">
        <v>62308</v>
      </c>
      <c r="W20" s="14"/>
      <c r="X20" s="11">
        <v>19.347000000000001</v>
      </c>
      <c r="Y20" s="11">
        <v>592322</v>
      </c>
      <c r="Z20" s="49"/>
      <c r="AC20" s="3"/>
    </row>
    <row r="21" spans="1:29" ht="15.75" customHeight="1">
      <c r="A21" s="2" t="s">
        <v>41</v>
      </c>
      <c r="B21" s="37" t="s">
        <v>40</v>
      </c>
      <c r="C21" s="11">
        <v>8.1669999999999998</v>
      </c>
      <c r="D21" s="11">
        <v>608600</v>
      </c>
      <c r="E21" s="30"/>
      <c r="F21" s="11">
        <v>10.803000000000001</v>
      </c>
      <c r="G21" s="11">
        <v>463310</v>
      </c>
      <c r="I21" s="26">
        <v>11.433</v>
      </c>
      <c r="J21" s="11">
        <v>4094732</v>
      </c>
      <c r="K21" s="41"/>
      <c r="L21" s="11">
        <v>12.83</v>
      </c>
      <c r="M21" s="11">
        <v>1517675</v>
      </c>
      <c r="O21" s="26">
        <v>16.29</v>
      </c>
      <c r="P21" s="11">
        <v>294423</v>
      </c>
      <c r="Q21" s="44"/>
      <c r="T21" s="3"/>
      <c r="U21" s="11">
        <v>18.446999999999999</v>
      </c>
      <c r="V21" s="11">
        <v>83248</v>
      </c>
      <c r="W21" s="14"/>
      <c r="X21" s="11">
        <v>19.350000000000001</v>
      </c>
      <c r="Y21" s="11">
        <v>531091</v>
      </c>
      <c r="Z21" s="49"/>
      <c r="AC21" s="3"/>
    </row>
    <row r="22" spans="1:29" ht="15.75" customHeight="1">
      <c r="A22" s="2" t="s">
        <v>42</v>
      </c>
      <c r="B22" s="37" t="s">
        <v>40</v>
      </c>
      <c r="C22" s="11">
        <v>8.1630000000000003</v>
      </c>
      <c r="D22" s="11">
        <v>758940</v>
      </c>
      <c r="E22" s="30"/>
      <c r="F22" s="11">
        <v>10.807</v>
      </c>
      <c r="G22" s="11">
        <v>368699</v>
      </c>
      <c r="I22" s="26">
        <v>11.43</v>
      </c>
      <c r="J22" s="11">
        <v>3784803</v>
      </c>
      <c r="K22" s="41"/>
      <c r="L22" s="11">
        <v>12.83</v>
      </c>
      <c r="M22" s="11">
        <v>1812358</v>
      </c>
      <c r="O22" s="26">
        <v>16.286999999999999</v>
      </c>
      <c r="P22" s="11">
        <v>307227</v>
      </c>
      <c r="Q22" s="44"/>
      <c r="T22" s="3"/>
      <c r="U22" s="11">
        <v>18.440000000000001</v>
      </c>
      <c r="V22" s="11">
        <v>96622</v>
      </c>
      <c r="W22" s="14"/>
      <c r="X22" s="11">
        <v>19.347000000000001</v>
      </c>
      <c r="Y22" s="11">
        <v>524321</v>
      </c>
      <c r="Z22" s="49"/>
      <c r="AC22" s="3"/>
    </row>
    <row r="23" spans="1:29" ht="15.75" customHeight="1">
      <c r="A23" s="2" t="s">
        <v>43</v>
      </c>
      <c r="B23" s="37" t="s">
        <v>44</v>
      </c>
      <c r="C23" s="11">
        <v>8.157</v>
      </c>
      <c r="D23" s="11">
        <v>1253571</v>
      </c>
      <c r="E23" s="30"/>
      <c r="F23" s="11">
        <v>10.803000000000001</v>
      </c>
      <c r="G23" s="11">
        <v>321084</v>
      </c>
      <c r="I23" s="26">
        <v>11.43</v>
      </c>
      <c r="J23" s="11">
        <v>3760949</v>
      </c>
      <c r="K23" s="41"/>
      <c r="L23" s="11">
        <v>12.83</v>
      </c>
      <c r="M23" s="11">
        <v>1692630</v>
      </c>
      <c r="O23" s="26">
        <v>16.29</v>
      </c>
      <c r="P23" s="11">
        <v>242854</v>
      </c>
      <c r="Q23" s="44"/>
      <c r="T23" s="3"/>
      <c r="U23" s="11">
        <v>18.523</v>
      </c>
      <c r="V23" s="11">
        <v>19486</v>
      </c>
      <c r="W23" s="14"/>
      <c r="X23" s="11">
        <v>19.350000000000001</v>
      </c>
      <c r="Y23" s="11">
        <v>692833</v>
      </c>
      <c r="Z23" s="49"/>
      <c r="AC23" s="3"/>
    </row>
    <row r="24" spans="1:29" ht="15.75" customHeight="1">
      <c r="A24" s="2" t="s">
        <v>45</v>
      </c>
      <c r="B24" s="37" t="s">
        <v>44</v>
      </c>
      <c r="C24" s="11">
        <v>8.17</v>
      </c>
      <c r="D24" s="11">
        <v>805221</v>
      </c>
      <c r="E24" s="30"/>
      <c r="F24" s="11">
        <v>10.807</v>
      </c>
      <c r="G24" s="11">
        <v>368807</v>
      </c>
      <c r="I24" s="26">
        <v>11.433</v>
      </c>
      <c r="J24" s="11">
        <v>3896516</v>
      </c>
      <c r="K24" s="41"/>
      <c r="L24" s="11">
        <v>12.83</v>
      </c>
      <c r="M24" s="11">
        <v>1618429</v>
      </c>
      <c r="O24" s="26">
        <v>16.306999999999999</v>
      </c>
      <c r="P24" s="11">
        <v>366678</v>
      </c>
      <c r="Q24" s="44"/>
      <c r="T24" s="3"/>
      <c r="U24" s="11">
        <v>18.463000000000001</v>
      </c>
      <c r="V24" s="11">
        <v>78287</v>
      </c>
      <c r="W24" s="14"/>
      <c r="X24" s="11">
        <v>19.353000000000002</v>
      </c>
      <c r="Y24" s="11">
        <v>851398</v>
      </c>
      <c r="Z24" s="49"/>
      <c r="AC24" s="3"/>
    </row>
    <row r="25" spans="1:29" ht="15.75" customHeight="1">
      <c r="A25" s="2" t="s">
        <v>46</v>
      </c>
      <c r="B25" s="37" t="s">
        <v>44</v>
      </c>
      <c r="C25" s="11">
        <v>8.17</v>
      </c>
      <c r="D25" s="11">
        <v>795559</v>
      </c>
      <c r="E25" s="30"/>
      <c r="F25" s="11">
        <v>10.803000000000001</v>
      </c>
      <c r="G25" s="11">
        <v>407165</v>
      </c>
      <c r="I25" s="26">
        <v>11.436999999999999</v>
      </c>
      <c r="J25" s="11">
        <v>4105693</v>
      </c>
      <c r="K25" s="41"/>
      <c r="L25" s="11">
        <v>12.83</v>
      </c>
      <c r="M25" s="11">
        <v>1775158</v>
      </c>
      <c r="O25" s="26">
        <v>16.3</v>
      </c>
      <c r="P25" s="11">
        <v>315279</v>
      </c>
      <c r="Q25" s="44"/>
      <c r="T25" s="3"/>
      <c r="U25" s="11">
        <v>18.440000000000001</v>
      </c>
      <c r="V25" s="11">
        <v>68646</v>
      </c>
      <c r="W25" s="14"/>
      <c r="X25" s="11">
        <v>19.350000000000001</v>
      </c>
      <c r="Y25" s="11">
        <v>812353</v>
      </c>
      <c r="Z25" s="49"/>
      <c r="AC25" s="3"/>
    </row>
    <row r="26" spans="1:29" ht="15.75" customHeight="1">
      <c r="A26" s="2" t="s">
        <v>47</v>
      </c>
      <c r="B26" s="37" t="s">
        <v>48</v>
      </c>
      <c r="C26" s="11">
        <v>8.16</v>
      </c>
      <c r="D26" s="11">
        <v>1437151</v>
      </c>
      <c r="E26" s="30"/>
      <c r="F26" s="11">
        <v>10.807</v>
      </c>
      <c r="G26" s="11">
        <v>395733</v>
      </c>
      <c r="I26" s="26">
        <v>11.436999999999999</v>
      </c>
      <c r="J26" s="11">
        <v>4011529</v>
      </c>
      <c r="K26" s="41"/>
      <c r="L26" s="11">
        <v>12.83</v>
      </c>
      <c r="M26" s="11">
        <v>1777942</v>
      </c>
      <c r="O26" s="26">
        <v>16.3</v>
      </c>
      <c r="P26" s="11">
        <v>316515</v>
      </c>
      <c r="Q26" s="44"/>
      <c r="T26" s="3"/>
      <c r="U26" s="11">
        <v>18.489999999999998</v>
      </c>
      <c r="V26" s="11">
        <v>56689</v>
      </c>
      <c r="W26" s="14"/>
      <c r="X26" s="11">
        <v>19.353000000000002</v>
      </c>
      <c r="Y26" s="11">
        <v>783433</v>
      </c>
      <c r="Z26" s="49"/>
      <c r="AC26" s="3"/>
    </row>
    <row r="27" spans="1:29" ht="15.75" customHeight="1">
      <c r="A27" s="2" t="s">
        <v>49</v>
      </c>
      <c r="B27" s="37" t="s">
        <v>48</v>
      </c>
      <c r="C27" s="11">
        <v>8.1669999999999998</v>
      </c>
      <c r="D27" s="11">
        <v>869405</v>
      </c>
      <c r="E27" s="30"/>
      <c r="F27" s="11">
        <v>10.807</v>
      </c>
      <c r="G27" s="11">
        <v>362048</v>
      </c>
      <c r="I27" s="26">
        <v>11.436999999999999</v>
      </c>
      <c r="J27" s="11">
        <v>4217032</v>
      </c>
      <c r="K27" s="41"/>
      <c r="L27" s="11">
        <v>12.83</v>
      </c>
      <c r="M27" s="11">
        <v>1643402</v>
      </c>
      <c r="O27" s="26">
        <v>16.292999999999999</v>
      </c>
      <c r="P27" s="11">
        <v>331766</v>
      </c>
      <c r="Q27" s="44"/>
      <c r="T27" s="3"/>
      <c r="U27" s="11">
        <v>18.876999999999999</v>
      </c>
      <c r="V27" s="11">
        <v>78836</v>
      </c>
      <c r="W27" s="14"/>
      <c r="X27" s="11">
        <v>19.353000000000002</v>
      </c>
      <c r="Y27" s="11">
        <v>830605</v>
      </c>
      <c r="Z27" s="49"/>
      <c r="AC27" s="3"/>
    </row>
    <row r="28" spans="1:29" ht="15.75" customHeight="1">
      <c r="A28" s="2" t="s">
        <v>50</v>
      </c>
      <c r="B28" s="37" t="s">
        <v>48</v>
      </c>
      <c r="C28" s="11">
        <v>8.173</v>
      </c>
      <c r="D28" s="11">
        <v>775555</v>
      </c>
      <c r="E28" s="30"/>
      <c r="F28" s="11">
        <v>10.807</v>
      </c>
      <c r="G28" s="11">
        <v>391598</v>
      </c>
      <c r="I28" s="26">
        <v>11.44</v>
      </c>
      <c r="J28" s="11">
        <v>4093377</v>
      </c>
      <c r="K28" s="41"/>
      <c r="L28" s="11">
        <v>12.833</v>
      </c>
      <c r="M28" s="11">
        <v>1796600</v>
      </c>
      <c r="O28" s="26">
        <v>16.309999999999999</v>
      </c>
      <c r="P28" s="11">
        <v>355212</v>
      </c>
      <c r="Q28" s="44"/>
      <c r="T28" s="3"/>
      <c r="U28" s="11">
        <v>18.89</v>
      </c>
      <c r="V28" s="11">
        <v>107816</v>
      </c>
      <c r="W28" s="14"/>
      <c r="X28" s="11">
        <v>19.356999999999999</v>
      </c>
      <c r="Y28" s="11">
        <v>782835</v>
      </c>
      <c r="Z28" s="49"/>
      <c r="AC28" s="3"/>
    </row>
    <row r="29" spans="1:29" ht="15.75" customHeight="1">
      <c r="A29" s="2" t="s">
        <v>51</v>
      </c>
      <c r="B29" s="37" t="s">
        <v>52</v>
      </c>
      <c r="C29" s="11">
        <v>8.16</v>
      </c>
      <c r="D29" s="11">
        <v>1451683</v>
      </c>
      <c r="E29" s="30"/>
      <c r="F29" s="11">
        <v>10.803000000000001</v>
      </c>
      <c r="G29" s="11">
        <v>414921</v>
      </c>
      <c r="I29" s="26">
        <v>11.436999999999999</v>
      </c>
      <c r="J29" s="11">
        <v>4224127</v>
      </c>
      <c r="K29" s="41"/>
      <c r="L29" s="11">
        <v>12.83</v>
      </c>
      <c r="M29" s="11">
        <v>1683666</v>
      </c>
      <c r="O29" s="26">
        <v>16.286999999999999</v>
      </c>
      <c r="P29" s="11">
        <v>383598</v>
      </c>
      <c r="Q29" s="44"/>
      <c r="T29" s="3"/>
      <c r="U29" s="11">
        <v>18.446999999999999</v>
      </c>
      <c r="V29" s="11">
        <v>97708</v>
      </c>
      <c r="W29" s="14"/>
      <c r="X29" s="11">
        <v>19.350000000000001</v>
      </c>
      <c r="Y29" s="11">
        <v>847561</v>
      </c>
      <c r="Z29" s="49"/>
      <c r="AC29" s="3"/>
    </row>
    <row r="30" spans="1:29" ht="15.75" customHeight="1">
      <c r="A30" s="2" t="s">
        <v>53</v>
      </c>
      <c r="B30" s="37" t="s">
        <v>52</v>
      </c>
      <c r="C30" s="11">
        <v>8.1769999999999996</v>
      </c>
      <c r="D30" s="11">
        <v>939984</v>
      </c>
      <c r="E30" s="30"/>
      <c r="F30" s="11">
        <v>10.8</v>
      </c>
      <c r="G30" s="11">
        <v>472592</v>
      </c>
      <c r="I30" s="26">
        <v>11.436999999999999</v>
      </c>
      <c r="J30" s="11">
        <v>4354695</v>
      </c>
      <c r="K30" s="41"/>
      <c r="L30" s="11">
        <v>12.83</v>
      </c>
      <c r="M30" s="11">
        <v>1614287</v>
      </c>
      <c r="O30" s="26">
        <v>16.283000000000001</v>
      </c>
      <c r="P30" s="11">
        <v>380548</v>
      </c>
      <c r="Q30" s="44"/>
      <c r="T30" s="3"/>
      <c r="U30" s="11">
        <v>18.443000000000001</v>
      </c>
      <c r="V30" s="11">
        <v>104114</v>
      </c>
      <c r="W30" s="14"/>
      <c r="X30" s="11">
        <v>19.350000000000001</v>
      </c>
      <c r="Y30" s="11">
        <v>832059</v>
      </c>
      <c r="Z30" s="49"/>
      <c r="AC30" s="3"/>
    </row>
    <row r="31" spans="1:29" ht="15.75" customHeight="1">
      <c r="A31" s="2" t="s">
        <v>54</v>
      </c>
      <c r="B31" s="37" t="s">
        <v>52</v>
      </c>
      <c r="C31" s="11">
        <v>8.1829999999999998</v>
      </c>
      <c r="D31" s="11">
        <v>839242</v>
      </c>
      <c r="E31" s="30"/>
      <c r="F31" s="11">
        <v>10.807</v>
      </c>
      <c r="G31" s="11">
        <v>457224</v>
      </c>
      <c r="I31" s="26">
        <v>11.436999999999999</v>
      </c>
      <c r="J31" s="11">
        <v>4069343</v>
      </c>
      <c r="K31" s="41"/>
      <c r="L31" s="11">
        <v>12.83</v>
      </c>
      <c r="M31" s="11">
        <v>1774833</v>
      </c>
      <c r="O31" s="26">
        <v>16.29</v>
      </c>
      <c r="P31" s="11">
        <v>348536</v>
      </c>
      <c r="Q31" s="44"/>
      <c r="T31" s="3"/>
      <c r="U31" s="11">
        <v>18.427</v>
      </c>
      <c r="V31" s="11">
        <v>113023</v>
      </c>
      <c r="W31" s="14"/>
      <c r="X31" s="11">
        <v>19.353000000000002</v>
      </c>
      <c r="Y31" s="11">
        <v>804318</v>
      </c>
      <c r="Z31" s="49"/>
      <c r="AC31" s="3"/>
    </row>
    <row r="32" spans="1:29" ht="15.75" customHeight="1">
      <c r="A32" s="2" t="s">
        <v>55</v>
      </c>
      <c r="B32" s="37" t="s">
        <v>56</v>
      </c>
      <c r="C32" s="11">
        <v>8.1630000000000003</v>
      </c>
      <c r="D32" s="11">
        <v>1152341</v>
      </c>
      <c r="E32" s="30"/>
      <c r="F32" s="11">
        <v>10.803000000000001</v>
      </c>
      <c r="G32" s="11">
        <v>477380</v>
      </c>
      <c r="I32" s="26">
        <v>11.446999999999999</v>
      </c>
      <c r="J32" s="11">
        <v>4765329</v>
      </c>
      <c r="K32" s="41"/>
      <c r="L32" s="11">
        <v>12.833</v>
      </c>
      <c r="M32" s="11">
        <v>1886854</v>
      </c>
      <c r="O32" s="17"/>
      <c r="Q32" s="44"/>
      <c r="R32" s="11">
        <v>16.837</v>
      </c>
      <c r="S32" s="11">
        <v>337528</v>
      </c>
      <c r="T32" s="3"/>
      <c r="U32" s="11">
        <v>18.5</v>
      </c>
      <c r="V32" s="11">
        <v>18939</v>
      </c>
      <c r="W32" s="14"/>
      <c r="X32" s="11">
        <v>19.353000000000002</v>
      </c>
      <c r="Y32" s="11">
        <v>1356116</v>
      </c>
      <c r="Z32" s="49"/>
      <c r="AC32" s="3"/>
    </row>
    <row r="33" spans="1:29" ht="15.75" customHeight="1">
      <c r="A33" s="2" t="s">
        <v>57</v>
      </c>
      <c r="B33" s="37" t="s">
        <v>56</v>
      </c>
      <c r="C33" s="11">
        <v>8.1630000000000003</v>
      </c>
      <c r="D33" s="11">
        <v>1056118</v>
      </c>
      <c r="E33" s="30"/>
      <c r="F33" s="11">
        <v>10.807</v>
      </c>
      <c r="G33" s="11">
        <v>465259</v>
      </c>
      <c r="I33" s="26">
        <v>11.446999999999999</v>
      </c>
      <c r="J33" s="11">
        <v>4847698</v>
      </c>
      <c r="K33" s="41"/>
      <c r="L33" s="11">
        <v>12.833</v>
      </c>
      <c r="M33" s="11">
        <v>2045417</v>
      </c>
      <c r="O33" s="17"/>
      <c r="Q33" s="44"/>
      <c r="R33" s="11">
        <v>16.832999999999998</v>
      </c>
      <c r="S33" s="11">
        <v>402033</v>
      </c>
      <c r="T33" s="3"/>
      <c r="U33" s="11">
        <v>18.48</v>
      </c>
      <c r="V33" s="11">
        <v>88022</v>
      </c>
      <c r="W33" s="14"/>
      <c r="X33" s="11">
        <v>19.356999999999999</v>
      </c>
      <c r="Y33" s="11">
        <v>1259882</v>
      </c>
      <c r="Z33" s="49"/>
      <c r="AC33" s="3"/>
    </row>
    <row r="34" spans="1:29" ht="15.75" customHeight="1">
      <c r="A34" s="2" t="s">
        <v>58</v>
      </c>
      <c r="B34" s="37" t="s">
        <v>56</v>
      </c>
      <c r="C34" s="11">
        <v>8.16</v>
      </c>
      <c r="D34" s="11">
        <v>1514763</v>
      </c>
      <c r="E34" s="30"/>
      <c r="F34" s="11">
        <v>10.787000000000001</v>
      </c>
      <c r="G34" s="11">
        <v>630840</v>
      </c>
      <c r="I34" s="26">
        <v>11.446999999999999</v>
      </c>
      <c r="J34" s="11">
        <v>4979298</v>
      </c>
      <c r="K34" s="41"/>
      <c r="L34" s="11">
        <v>12.833</v>
      </c>
      <c r="M34" s="11">
        <v>2069458</v>
      </c>
      <c r="O34" s="17"/>
      <c r="Q34" s="44"/>
      <c r="R34" s="11">
        <v>16.837</v>
      </c>
      <c r="S34" s="11">
        <v>474864</v>
      </c>
      <c r="T34" s="3"/>
      <c r="U34" s="11">
        <v>17.873000000000001</v>
      </c>
      <c r="V34" s="11">
        <v>73510</v>
      </c>
      <c r="W34" s="14"/>
      <c r="X34" s="11">
        <v>19.350000000000001</v>
      </c>
      <c r="Y34" s="11">
        <v>1663077</v>
      </c>
      <c r="Z34" s="49"/>
      <c r="AC34" s="3"/>
    </row>
    <row r="35" spans="1:29" ht="15.75" customHeight="1">
      <c r="A35" s="2" t="s">
        <v>59</v>
      </c>
      <c r="B35" s="37" t="s">
        <v>60</v>
      </c>
      <c r="C35" s="11">
        <v>8.16</v>
      </c>
      <c r="D35" s="11">
        <v>1559520</v>
      </c>
      <c r="E35" s="30"/>
      <c r="F35" s="11">
        <v>10.773</v>
      </c>
      <c r="G35" s="11">
        <v>503217</v>
      </c>
      <c r="I35" s="26">
        <v>11.446999999999999</v>
      </c>
      <c r="J35" s="11">
        <v>6045568</v>
      </c>
      <c r="K35" s="41"/>
      <c r="L35" s="11">
        <v>12.83</v>
      </c>
      <c r="M35" s="11">
        <v>2025504</v>
      </c>
      <c r="O35" s="17"/>
      <c r="Q35" s="44"/>
      <c r="R35" s="11">
        <v>16.837</v>
      </c>
      <c r="S35" s="11">
        <v>299919</v>
      </c>
      <c r="T35" s="3"/>
      <c r="U35" s="11">
        <v>18.832999999999998</v>
      </c>
      <c r="V35" s="11">
        <v>41044</v>
      </c>
      <c r="W35" s="14"/>
      <c r="X35" s="11">
        <v>19.353000000000002</v>
      </c>
      <c r="Y35" s="11">
        <v>1502077</v>
      </c>
      <c r="Z35" s="49"/>
      <c r="AC35" s="3"/>
    </row>
    <row r="36" spans="1:29" ht="15.75" customHeight="1">
      <c r="A36" s="2" t="s">
        <v>61</v>
      </c>
      <c r="B36" s="37" t="s">
        <v>60</v>
      </c>
      <c r="C36" s="11">
        <v>8.17</v>
      </c>
      <c r="D36" s="11">
        <v>770590</v>
      </c>
      <c r="E36" s="30"/>
      <c r="F36" s="11">
        <v>10.787000000000001</v>
      </c>
      <c r="G36" s="11">
        <v>506780</v>
      </c>
      <c r="I36" s="26">
        <v>11.45</v>
      </c>
      <c r="J36" s="11">
        <v>6122771</v>
      </c>
      <c r="K36" s="41"/>
      <c r="L36" s="11">
        <v>12.833</v>
      </c>
      <c r="M36" s="11">
        <v>1915994</v>
      </c>
      <c r="O36" s="17"/>
      <c r="Q36" s="44"/>
      <c r="R36" s="11">
        <v>16.84</v>
      </c>
      <c r="S36" s="11">
        <v>362432</v>
      </c>
      <c r="T36" s="3"/>
      <c r="U36" s="11">
        <v>18.489999999999998</v>
      </c>
      <c r="V36" s="11">
        <v>86953</v>
      </c>
      <c r="W36" s="14"/>
      <c r="X36" s="11">
        <v>19.356999999999999</v>
      </c>
      <c r="Y36" s="11">
        <v>1718123</v>
      </c>
      <c r="Z36" s="49"/>
      <c r="AC36" s="3"/>
    </row>
    <row r="37" spans="1:29" ht="15.75" customHeight="1">
      <c r="A37" s="2" t="s">
        <v>62</v>
      </c>
      <c r="B37" s="37" t="s">
        <v>60</v>
      </c>
      <c r="C37" s="11">
        <v>8.1769999999999996</v>
      </c>
      <c r="D37" s="11">
        <v>692073</v>
      </c>
      <c r="E37" s="30"/>
      <c r="F37" s="11">
        <v>10.79</v>
      </c>
      <c r="G37" s="11">
        <v>463972</v>
      </c>
      <c r="I37" s="26">
        <v>11.452999999999999</v>
      </c>
      <c r="J37" s="11">
        <v>6214166</v>
      </c>
      <c r="K37" s="41"/>
      <c r="L37" s="11">
        <v>12.833</v>
      </c>
      <c r="M37" s="11">
        <v>1880779</v>
      </c>
      <c r="O37" s="17"/>
      <c r="Q37" s="44"/>
      <c r="R37" s="11">
        <v>16.856999999999999</v>
      </c>
      <c r="S37" s="11">
        <v>301893</v>
      </c>
      <c r="T37" s="3"/>
      <c r="U37" s="11">
        <v>18.53</v>
      </c>
      <c r="V37" s="11">
        <v>69077</v>
      </c>
      <c r="W37" s="14"/>
      <c r="X37" s="11">
        <v>19.356999999999999</v>
      </c>
      <c r="Y37" s="11">
        <v>1392576</v>
      </c>
      <c r="Z37" s="49"/>
      <c r="AC37" s="3"/>
    </row>
    <row r="38" spans="1:29" ht="15.75" customHeight="1">
      <c r="A38" s="2" t="s">
        <v>63</v>
      </c>
      <c r="B38" s="37" t="s">
        <v>64</v>
      </c>
      <c r="C38" s="11">
        <v>8.1630000000000003</v>
      </c>
      <c r="D38" s="11">
        <v>1209225</v>
      </c>
      <c r="E38" s="30"/>
      <c r="F38" s="11">
        <v>10.79</v>
      </c>
      <c r="G38" s="11">
        <v>529438</v>
      </c>
      <c r="I38" s="26">
        <v>11.452999999999999</v>
      </c>
      <c r="J38" s="11">
        <v>6136881</v>
      </c>
      <c r="K38" s="41"/>
      <c r="L38" s="11">
        <v>12.833</v>
      </c>
      <c r="M38" s="11">
        <v>1913614</v>
      </c>
      <c r="O38" s="26">
        <v>16.312999999999999</v>
      </c>
      <c r="P38" s="11">
        <v>445265</v>
      </c>
      <c r="Q38" s="44"/>
      <c r="T38" s="3"/>
      <c r="U38" s="11">
        <v>18.832999999999998</v>
      </c>
      <c r="V38" s="11">
        <v>88919</v>
      </c>
      <c r="W38" s="14"/>
      <c r="X38" s="11">
        <v>19.356999999999999</v>
      </c>
      <c r="Y38" s="11">
        <v>1876217</v>
      </c>
      <c r="Z38" s="49"/>
      <c r="AC38" s="3"/>
    </row>
    <row r="39" spans="1:29" ht="15.75" customHeight="1">
      <c r="A39" s="2" t="s">
        <v>65</v>
      </c>
      <c r="B39" s="37" t="s">
        <v>64</v>
      </c>
      <c r="C39" s="11">
        <v>8.16</v>
      </c>
      <c r="D39" s="11">
        <v>1417615</v>
      </c>
      <c r="E39" s="30"/>
      <c r="F39" s="11">
        <v>10.8</v>
      </c>
      <c r="G39" s="11">
        <v>479708</v>
      </c>
      <c r="I39" s="26">
        <v>11.443</v>
      </c>
      <c r="J39" s="11">
        <v>4726433</v>
      </c>
      <c r="K39" s="41"/>
      <c r="L39" s="11">
        <v>12.833</v>
      </c>
      <c r="M39" s="11">
        <v>1930547</v>
      </c>
      <c r="O39" s="26">
        <v>16.317</v>
      </c>
      <c r="P39" s="11">
        <v>381571</v>
      </c>
      <c r="Q39" s="44"/>
      <c r="T39" s="3"/>
      <c r="U39" s="11">
        <v>18.57</v>
      </c>
      <c r="V39" s="11">
        <v>58913</v>
      </c>
      <c r="W39" s="14"/>
      <c r="X39" s="11">
        <v>19.356999999999999</v>
      </c>
      <c r="Y39" s="11">
        <v>1272311</v>
      </c>
      <c r="Z39" s="49"/>
      <c r="AC39" s="3"/>
    </row>
    <row r="40" spans="1:29" ht="15.75" customHeight="1">
      <c r="A40" s="2" t="s">
        <v>66</v>
      </c>
      <c r="B40" s="37" t="s">
        <v>64</v>
      </c>
      <c r="C40" s="11">
        <v>8.1630000000000003</v>
      </c>
      <c r="D40" s="11">
        <v>1243957</v>
      </c>
      <c r="E40" s="30"/>
      <c r="F40" s="11">
        <v>10.813000000000001</v>
      </c>
      <c r="G40" s="11">
        <v>474267</v>
      </c>
      <c r="I40" s="26">
        <v>11.452999999999999</v>
      </c>
      <c r="J40" s="11">
        <v>4754346</v>
      </c>
      <c r="K40" s="41"/>
      <c r="L40" s="11">
        <v>12.837</v>
      </c>
      <c r="M40" s="11">
        <v>1905613</v>
      </c>
      <c r="O40" s="26">
        <v>16.32</v>
      </c>
      <c r="P40" s="11">
        <v>375873</v>
      </c>
      <c r="Q40" s="44"/>
      <c r="T40" s="3"/>
      <c r="U40" s="11">
        <v>18.55</v>
      </c>
      <c r="V40" s="11">
        <v>66467</v>
      </c>
      <c r="W40" s="14"/>
      <c r="X40" s="11">
        <v>19.363</v>
      </c>
      <c r="Y40" s="11">
        <v>1189172</v>
      </c>
      <c r="Z40" s="49"/>
      <c r="AC40" s="3"/>
    </row>
    <row r="41" spans="1:29" ht="15.75" customHeight="1">
      <c r="A41" s="2" t="s">
        <v>67</v>
      </c>
      <c r="B41" s="37" t="s">
        <v>68</v>
      </c>
      <c r="C41" s="11">
        <v>8.16</v>
      </c>
      <c r="D41" s="11">
        <v>1357240</v>
      </c>
      <c r="E41" s="30"/>
      <c r="F41" s="11">
        <v>10.81</v>
      </c>
      <c r="G41" s="11">
        <v>408533</v>
      </c>
      <c r="I41" s="26">
        <v>11.452999999999999</v>
      </c>
      <c r="J41" s="11">
        <v>5157381</v>
      </c>
      <c r="K41" s="41"/>
      <c r="L41" s="11">
        <v>12.833</v>
      </c>
      <c r="M41" s="11">
        <v>1870968</v>
      </c>
      <c r="O41" s="26">
        <v>16.312999999999999</v>
      </c>
      <c r="P41" s="11">
        <v>289089</v>
      </c>
      <c r="Q41" s="44"/>
      <c r="T41" s="3"/>
      <c r="U41" s="11">
        <v>18.196999999999999</v>
      </c>
      <c r="V41" s="11">
        <v>6524</v>
      </c>
      <c r="W41" s="14"/>
      <c r="X41" s="11">
        <v>19.36</v>
      </c>
      <c r="Y41" s="11">
        <v>1275807</v>
      </c>
      <c r="Z41" s="49"/>
      <c r="AC41" s="3"/>
    </row>
    <row r="42" spans="1:29" ht="15.75" customHeight="1">
      <c r="A42" s="2" t="s">
        <v>69</v>
      </c>
      <c r="B42" s="37" t="s">
        <v>68</v>
      </c>
      <c r="C42" s="11">
        <v>8.1669999999999998</v>
      </c>
      <c r="D42" s="11">
        <v>690260</v>
      </c>
      <c r="E42" s="30"/>
      <c r="F42" s="11">
        <v>10.803000000000001</v>
      </c>
      <c r="G42" s="11">
        <v>452476</v>
      </c>
      <c r="I42" s="26">
        <v>11.452999999999999</v>
      </c>
      <c r="J42" s="11">
        <v>5511867</v>
      </c>
      <c r="K42" s="41"/>
      <c r="L42" s="11">
        <v>12.83</v>
      </c>
      <c r="M42" s="11">
        <v>1880586</v>
      </c>
      <c r="O42" s="26">
        <v>16.317</v>
      </c>
      <c r="P42" s="11">
        <v>371576</v>
      </c>
      <c r="Q42" s="44"/>
      <c r="T42" s="3"/>
      <c r="U42" s="11">
        <v>18.54</v>
      </c>
      <c r="V42" s="11">
        <v>80483</v>
      </c>
      <c r="W42" s="14"/>
      <c r="X42" s="11">
        <v>19.356999999999999</v>
      </c>
      <c r="Y42" s="11">
        <v>1282126</v>
      </c>
      <c r="Z42" s="49"/>
      <c r="AC42" s="3"/>
    </row>
    <row r="43" spans="1:29" ht="15.75" customHeight="1">
      <c r="A43" s="2" t="s">
        <v>70</v>
      </c>
      <c r="B43" s="37" t="s">
        <v>68</v>
      </c>
      <c r="C43" s="11">
        <v>8.173</v>
      </c>
      <c r="D43" s="11">
        <v>900721</v>
      </c>
      <c r="E43" s="30"/>
      <c r="F43" s="11">
        <v>10.787000000000001</v>
      </c>
      <c r="G43" s="11">
        <v>513980</v>
      </c>
      <c r="I43" s="26">
        <v>11.457000000000001</v>
      </c>
      <c r="J43" s="11">
        <v>6114273</v>
      </c>
      <c r="K43" s="41"/>
      <c r="L43" s="11">
        <v>12.83</v>
      </c>
      <c r="M43" s="11">
        <v>1959399</v>
      </c>
      <c r="O43" s="26">
        <v>16.312999999999999</v>
      </c>
      <c r="P43" s="11">
        <v>321415</v>
      </c>
      <c r="Q43" s="44"/>
      <c r="T43" s="3"/>
      <c r="U43" s="11">
        <v>18.242999999999999</v>
      </c>
      <c r="V43" s="11">
        <v>46019</v>
      </c>
      <c r="W43" s="14"/>
      <c r="X43" s="11">
        <v>19.356999999999999</v>
      </c>
      <c r="Y43" s="11">
        <v>1647568</v>
      </c>
      <c r="Z43" s="49"/>
      <c r="AC43" s="3"/>
    </row>
    <row r="44" spans="1:29" ht="15.75" customHeight="1">
      <c r="A44" s="2" t="s">
        <v>71</v>
      </c>
      <c r="B44" s="37" t="s">
        <v>72</v>
      </c>
      <c r="C44" s="11">
        <v>8.1630000000000003</v>
      </c>
      <c r="D44" s="11">
        <v>1073303</v>
      </c>
      <c r="E44" s="30"/>
      <c r="F44" s="11">
        <v>10.803000000000001</v>
      </c>
      <c r="G44" s="11">
        <v>390431</v>
      </c>
      <c r="I44" s="26">
        <v>11.44</v>
      </c>
      <c r="J44" s="11">
        <v>3889574</v>
      </c>
      <c r="K44" s="41"/>
      <c r="L44" s="11">
        <v>12.833</v>
      </c>
      <c r="M44" s="11">
        <v>1734732</v>
      </c>
      <c r="O44" s="17"/>
      <c r="Q44" s="44"/>
      <c r="R44" s="11">
        <v>16.867000000000001</v>
      </c>
      <c r="S44" s="11">
        <v>270945</v>
      </c>
      <c r="T44" s="3"/>
      <c r="U44" s="11">
        <v>18.562999999999999</v>
      </c>
      <c r="V44" s="11">
        <v>36595</v>
      </c>
      <c r="W44" s="14"/>
      <c r="X44" s="11">
        <v>19.353000000000002</v>
      </c>
      <c r="Y44" s="11">
        <v>952510</v>
      </c>
      <c r="Z44" s="49"/>
      <c r="AC44" s="3"/>
    </row>
    <row r="45" spans="1:29" ht="15.75" customHeight="1">
      <c r="A45" s="2" t="s">
        <v>73</v>
      </c>
      <c r="B45" s="37" t="s">
        <v>72</v>
      </c>
      <c r="C45" s="11">
        <v>8.1669999999999998</v>
      </c>
      <c r="D45" s="11">
        <v>637980</v>
      </c>
      <c r="E45" s="30"/>
      <c r="F45" s="11">
        <v>10.807</v>
      </c>
      <c r="G45" s="11">
        <v>399685</v>
      </c>
      <c r="I45" s="26">
        <v>11.44</v>
      </c>
      <c r="J45" s="11">
        <v>3988396</v>
      </c>
      <c r="K45" s="41"/>
      <c r="L45" s="11">
        <v>12.833</v>
      </c>
      <c r="M45" s="11">
        <v>1900359</v>
      </c>
      <c r="O45" s="17"/>
      <c r="Q45" s="44"/>
      <c r="R45" s="11">
        <v>16.856999999999999</v>
      </c>
      <c r="S45" s="11">
        <v>290975</v>
      </c>
      <c r="T45" s="3"/>
      <c r="U45" s="11">
        <v>18.87</v>
      </c>
      <c r="V45" s="11">
        <v>82195</v>
      </c>
      <c r="W45" s="14"/>
      <c r="X45" s="11">
        <v>19.356999999999999</v>
      </c>
      <c r="Y45" s="11">
        <v>892830</v>
      </c>
      <c r="Z45" s="49"/>
      <c r="AC45" s="3"/>
    </row>
    <row r="46" spans="1:29" ht="15.75" customHeight="1">
      <c r="A46" s="2" t="s">
        <v>74</v>
      </c>
      <c r="B46" s="37" t="s">
        <v>72</v>
      </c>
      <c r="C46" s="11">
        <v>8.173</v>
      </c>
      <c r="D46" s="11">
        <v>676807</v>
      </c>
      <c r="E46" s="30"/>
      <c r="F46" s="11">
        <v>10.803000000000001</v>
      </c>
      <c r="G46" s="11">
        <v>407876</v>
      </c>
      <c r="I46" s="26">
        <v>11.436999999999999</v>
      </c>
      <c r="J46" s="11">
        <v>3885832</v>
      </c>
      <c r="K46" s="41"/>
      <c r="L46" s="11">
        <v>12.83</v>
      </c>
      <c r="M46" s="11">
        <v>1811031</v>
      </c>
      <c r="O46" s="17"/>
      <c r="Q46" s="44"/>
      <c r="R46" s="11">
        <v>16.856999999999999</v>
      </c>
      <c r="S46" s="11">
        <v>274604</v>
      </c>
      <c r="T46" s="3"/>
      <c r="U46" s="11">
        <v>18.523</v>
      </c>
      <c r="V46" s="11">
        <v>68878</v>
      </c>
      <c r="W46" s="14"/>
      <c r="X46" s="11">
        <v>19.353000000000002</v>
      </c>
      <c r="Y46" s="11">
        <v>844126</v>
      </c>
      <c r="Z46" s="49"/>
      <c r="AC46" s="3"/>
    </row>
    <row r="47" spans="1:29" ht="15.75" customHeight="1">
      <c r="A47" s="2" t="s">
        <v>75</v>
      </c>
      <c r="B47" s="37" t="s">
        <v>76</v>
      </c>
      <c r="C47" s="11">
        <v>8.1630000000000003</v>
      </c>
      <c r="D47" s="11">
        <v>1170424</v>
      </c>
      <c r="E47" s="30"/>
      <c r="F47" s="11">
        <v>10.81</v>
      </c>
      <c r="G47" s="11">
        <v>387712</v>
      </c>
      <c r="I47" s="26">
        <v>11.43</v>
      </c>
      <c r="J47" s="11">
        <v>3406646</v>
      </c>
      <c r="K47" s="41"/>
      <c r="L47" s="11">
        <v>12.833</v>
      </c>
      <c r="M47" s="11">
        <v>1684589</v>
      </c>
      <c r="O47" s="26">
        <v>16.3</v>
      </c>
      <c r="P47" s="11">
        <v>293467</v>
      </c>
      <c r="Q47" s="44"/>
      <c r="T47" s="3"/>
      <c r="U47" s="11">
        <v>18.510000000000002</v>
      </c>
      <c r="V47" s="11">
        <v>81491</v>
      </c>
      <c r="W47" s="14"/>
      <c r="X47" s="11">
        <v>19.353000000000002</v>
      </c>
      <c r="Y47" s="11">
        <v>629663</v>
      </c>
      <c r="Z47" s="49"/>
      <c r="AC47" s="3"/>
    </row>
    <row r="48" spans="1:29" ht="15.75" customHeight="1">
      <c r="A48" s="2" t="s">
        <v>77</v>
      </c>
      <c r="B48" s="37" t="s">
        <v>76</v>
      </c>
      <c r="C48" s="11">
        <v>8.16</v>
      </c>
      <c r="D48" s="11">
        <v>690406</v>
      </c>
      <c r="E48" s="30"/>
      <c r="F48" s="11">
        <v>10.803000000000001</v>
      </c>
      <c r="G48" s="11">
        <v>353887</v>
      </c>
      <c r="I48" s="26">
        <v>11.43</v>
      </c>
      <c r="J48" s="11">
        <v>3627286</v>
      </c>
      <c r="K48" s="41"/>
      <c r="L48" s="11">
        <v>12.827</v>
      </c>
      <c r="M48" s="11">
        <v>1673979</v>
      </c>
      <c r="O48" s="26">
        <v>16.297000000000001</v>
      </c>
      <c r="P48" s="11">
        <v>247174</v>
      </c>
      <c r="Q48" s="44"/>
      <c r="T48" s="3"/>
      <c r="U48" s="11">
        <v>18.472999999999999</v>
      </c>
      <c r="V48" s="11">
        <v>80355</v>
      </c>
      <c r="W48" s="14"/>
      <c r="X48" s="11">
        <v>19.353000000000002</v>
      </c>
      <c r="Y48" s="11">
        <v>370316</v>
      </c>
      <c r="Z48" s="49"/>
      <c r="AC48" s="3"/>
    </row>
    <row r="49" spans="1:29" ht="15.75" customHeight="1">
      <c r="A49" s="2" t="s">
        <v>78</v>
      </c>
      <c r="B49" s="37" t="s">
        <v>76</v>
      </c>
      <c r="C49" s="11">
        <v>8.1669999999999998</v>
      </c>
      <c r="D49" s="11">
        <v>681914</v>
      </c>
      <c r="E49" s="30"/>
      <c r="F49" s="11">
        <v>10.813000000000001</v>
      </c>
      <c r="G49" s="11">
        <v>360505</v>
      </c>
      <c r="I49" s="26">
        <v>11.433</v>
      </c>
      <c r="J49" s="11">
        <v>3587869</v>
      </c>
      <c r="K49" s="41"/>
      <c r="L49" s="11">
        <v>12.833</v>
      </c>
      <c r="M49" s="11">
        <v>1752379</v>
      </c>
      <c r="O49" s="26">
        <v>16.303000000000001</v>
      </c>
      <c r="P49" s="11">
        <v>277049</v>
      </c>
      <c r="Q49" s="44"/>
      <c r="T49" s="3"/>
      <c r="U49" s="11">
        <v>18.907</v>
      </c>
      <c r="V49" s="11">
        <v>100104</v>
      </c>
      <c r="W49" s="14"/>
      <c r="X49" s="11">
        <v>19.353000000000002</v>
      </c>
      <c r="Y49" s="11">
        <v>511747</v>
      </c>
      <c r="Z49" s="49"/>
      <c r="AC49" s="3"/>
    </row>
    <row r="50" spans="1:29" ht="15.75" customHeight="1">
      <c r="A50" s="2" t="s">
        <v>79</v>
      </c>
      <c r="B50" s="37" t="s">
        <v>80</v>
      </c>
      <c r="C50" s="11">
        <v>8.16</v>
      </c>
      <c r="D50" s="11">
        <v>1242798</v>
      </c>
      <c r="E50" s="30"/>
      <c r="F50" s="11">
        <v>10.8</v>
      </c>
      <c r="G50" s="11">
        <v>383995</v>
      </c>
      <c r="I50" s="26">
        <v>11.436999999999999</v>
      </c>
      <c r="J50" s="11">
        <v>5295338</v>
      </c>
      <c r="K50" s="41"/>
      <c r="L50" s="11">
        <v>12.83</v>
      </c>
      <c r="M50" s="11">
        <v>1785450</v>
      </c>
      <c r="O50" s="26">
        <v>16.309999999999999</v>
      </c>
      <c r="P50" s="11">
        <v>299831</v>
      </c>
      <c r="Q50" s="44"/>
      <c r="T50" s="3"/>
      <c r="U50" s="11">
        <v>18.242999999999999</v>
      </c>
      <c r="V50" s="11">
        <v>15612</v>
      </c>
      <c r="W50" s="14"/>
      <c r="X50" s="11">
        <v>19.356999999999999</v>
      </c>
      <c r="Y50" s="11">
        <v>1289977</v>
      </c>
      <c r="Z50" s="49"/>
      <c r="AC50" s="3"/>
    </row>
    <row r="51" spans="1:29" ht="15.75" customHeight="1">
      <c r="A51" s="2" t="s">
        <v>81</v>
      </c>
      <c r="B51" s="37" t="s">
        <v>80</v>
      </c>
      <c r="C51" s="11">
        <v>8.1669999999999998</v>
      </c>
      <c r="D51" s="11">
        <v>779268</v>
      </c>
      <c r="E51" s="30"/>
      <c r="F51" s="11">
        <v>10.803000000000001</v>
      </c>
      <c r="G51" s="11">
        <v>394912</v>
      </c>
      <c r="I51" s="26">
        <v>11.44</v>
      </c>
      <c r="J51" s="11">
        <v>4718411</v>
      </c>
      <c r="K51" s="41"/>
      <c r="L51" s="11">
        <v>12.833</v>
      </c>
      <c r="M51" s="11">
        <v>1800635</v>
      </c>
      <c r="O51" s="26">
        <v>16.306999999999999</v>
      </c>
      <c r="P51" s="11">
        <v>352964</v>
      </c>
      <c r="Q51" s="44"/>
      <c r="T51" s="3"/>
      <c r="U51" s="11">
        <v>18.856999999999999</v>
      </c>
      <c r="V51" s="11">
        <v>64487</v>
      </c>
      <c r="W51" s="14"/>
      <c r="X51" s="11">
        <v>19.353000000000002</v>
      </c>
      <c r="Y51" s="11">
        <v>1174099</v>
      </c>
      <c r="Z51" s="49"/>
      <c r="AC51" s="3"/>
    </row>
    <row r="52" spans="1:29" ht="15.75" customHeight="1">
      <c r="A52" s="2" t="s">
        <v>82</v>
      </c>
      <c r="B52" s="37" t="s">
        <v>80</v>
      </c>
      <c r="C52" s="11">
        <v>8.17</v>
      </c>
      <c r="D52" s="11">
        <v>718522</v>
      </c>
      <c r="E52" s="30"/>
      <c r="F52" s="11">
        <v>10.8</v>
      </c>
      <c r="G52" s="11">
        <v>415079</v>
      </c>
      <c r="I52" s="26">
        <v>11.443</v>
      </c>
      <c r="J52" s="11">
        <v>5479619</v>
      </c>
      <c r="K52" s="41"/>
      <c r="L52" s="11">
        <v>12.83</v>
      </c>
      <c r="M52" s="11">
        <v>1881529</v>
      </c>
      <c r="O52" s="26">
        <v>16.303000000000001</v>
      </c>
      <c r="P52" s="11">
        <v>365882</v>
      </c>
      <c r="Q52" s="44"/>
      <c r="T52" s="3"/>
      <c r="U52" s="11">
        <v>18.850000000000001</v>
      </c>
      <c r="V52" s="11">
        <v>71195</v>
      </c>
      <c r="W52" s="14"/>
      <c r="X52" s="11">
        <v>19.350000000000001</v>
      </c>
      <c r="Y52" s="11">
        <v>1310863</v>
      </c>
      <c r="Z52" s="49"/>
      <c r="AC52" s="3"/>
    </row>
    <row r="53" spans="1:29" ht="15.75" customHeight="1">
      <c r="A53" s="2" t="s">
        <v>83</v>
      </c>
      <c r="B53" s="37" t="s">
        <v>84</v>
      </c>
      <c r="C53" s="11">
        <v>8.16</v>
      </c>
      <c r="D53" s="11">
        <v>1304832</v>
      </c>
      <c r="E53" s="30"/>
      <c r="F53" s="11">
        <v>10.787000000000001</v>
      </c>
      <c r="G53" s="11">
        <v>449221</v>
      </c>
      <c r="I53" s="26">
        <v>11.433</v>
      </c>
      <c r="J53" s="11">
        <v>4095806</v>
      </c>
      <c r="K53" s="41"/>
      <c r="L53" s="11">
        <v>12.83</v>
      </c>
      <c r="M53" s="11">
        <v>1648721</v>
      </c>
      <c r="O53" s="26">
        <v>16.3</v>
      </c>
      <c r="P53" s="11">
        <v>340593</v>
      </c>
      <c r="Q53" s="44"/>
      <c r="T53" s="3"/>
      <c r="U53" s="11">
        <v>18.84</v>
      </c>
      <c r="V53" s="11">
        <v>38450</v>
      </c>
      <c r="W53" s="14"/>
      <c r="X53" s="11">
        <v>19.353000000000002</v>
      </c>
      <c r="Y53" s="11">
        <v>1112278</v>
      </c>
      <c r="Z53" s="49"/>
      <c r="AC53" s="3"/>
    </row>
    <row r="54" spans="1:29" ht="15.75" customHeight="1">
      <c r="A54" s="2" t="s">
        <v>85</v>
      </c>
      <c r="B54" s="37" t="s">
        <v>84</v>
      </c>
      <c r="C54" s="11">
        <v>8.1630000000000003</v>
      </c>
      <c r="D54" s="11">
        <v>702309</v>
      </c>
      <c r="E54" s="30"/>
      <c r="F54" s="11">
        <v>10.797000000000001</v>
      </c>
      <c r="G54" s="11">
        <v>399124</v>
      </c>
      <c r="I54" s="26">
        <v>11.43</v>
      </c>
      <c r="J54" s="11">
        <v>3839662</v>
      </c>
      <c r="K54" s="41"/>
      <c r="L54" s="11">
        <v>12.83</v>
      </c>
      <c r="M54" s="11">
        <v>1772353</v>
      </c>
      <c r="O54" s="26">
        <v>16.306999999999999</v>
      </c>
      <c r="P54" s="11">
        <v>373547</v>
      </c>
      <c r="Q54" s="44"/>
      <c r="T54" s="3"/>
      <c r="U54" s="11">
        <v>18.86</v>
      </c>
      <c r="V54" s="11">
        <v>51930</v>
      </c>
      <c r="W54" s="14"/>
      <c r="X54" s="11">
        <v>19.350000000000001</v>
      </c>
      <c r="Y54" s="11">
        <v>958786</v>
      </c>
      <c r="Z54" s="49"/>
      <c r="AC54" s="3"/>
    </row>
    <row r="55" spans="1:29" ht="15.75" customHeight="1">
      <c r="A55" s="2" t="s">
        <v>86</v>
      </c>
      <c r="B55" s="37" t="s">
        <v>84</v>
      </c>
      <c r="C55" s="11">
        <v>8.1769999999999996</v>
      </c>
      <c r="D55" s="11">
        <v>667505</v>
      </c>
      <c r="E55" s="30"/>
      <c r="F55" s="11">
        <v>10.803000000000001</v>
      </c>
      <c r="G55" s="11">
        <v>394815</v>
      </c>
      <c r="I55" s="26">
        <v>11.446999999999999</v>
      </c>
      <c r="J55" s="11">
        <v>4782070</v>
      </c>
      <c r="K55" s="41"/>
      <c r="L55" s="11">
        <v>12.837</v>
      </c>
      <c r="M55" s="11">
        <v>1749432</v>
      </c>
      <c r="O55" s="26">
        <v>16.317</v>
      </c>
      <c r="P55" s="11">
        <v>375247</v>
      </c>
      <c r="Q55" s="44"/>
      <c r="T55" s="3"/>
      <c r="U55" s="11">
        <v>18.853000000000002</v>
      </c>
      <c r="V55" s="11">
        <v>72547</v>
      </c>
      <c r="W55" s="14"/>
      <c r="X55" s="11">
        <v>19.356999999999999</v>
      </c>
      <c r="Y55" s="11">
        <v>1190996</v>
      </c>
      <c r="Z55" s="49"/>
      <c r="AC55" s="3"/>
    </row>
    <row r="56" spans="1:29" ht="15.75" customHeight="1">
      <c r="A56" s="2" t="s">
        <v>87</v>
      </c>
      <c r="B56" s="37" t="s">
        <v>88</v>
      </c>
      <c r="C56" s="11">
        <v>8.16</v>
      </c>
      <c r="D56" s="11">
        <v>1250067</v>
      </c>
      <c r="E56" s="30"/>
      <c r="F56" s="11">
        <v>10.807</v>
      </c>
      <c r="G56" s="11">
        <v>365147</v>
      </c>
      <c r="I56" s="26">
        <v>11.44</v>
      </c>
      <c r="J56" s="11">
        <v>4367244</v>
      </c>
      <c r="K56" s="41"/>
      <c r="L56" s="11">
        <v>12.83</v>
      </c>
      <c r="M56" s="11">
        <v>1699159</v>
      </c>
      <c r="O56" s="26">
        <v>16.306999999999999</v>
      </c>
      <c r="P56" s="11">
        <v>319807</v>
      </c>
      <c r="Q56" s="44"/>
      <c r="T56" s="3"/>
      <c r="U56" s="11">
        <v>17.739999999999998</v>
      </c>
      <c r="V56" s="11">
        <v>61364</v>
      </c>
      <c r="W56" s="14"/>
      <c r="X56" s="11">
        <v>19.353000000000002</v>
      </c>
      <c r="Y56" s="11">
        <v>997859</v>
      </c>
      <c r="Z56" s="49"/>
      <c r="AC56" s="3"/>
    </row>
    <row r="57" spans="1:29" ht="15.75" customHeight="1">
      <c r="A57" s="2" t="s">
        <v>89</v>
      </c>
      <c r="B57" s="37" t="s">
        <v>88</v>
      </c>
      <c r="C57" s="11">
        <v>8.1669999999999998</v>
      </c>
      <c r="D57" s="11">
        <v>810817</v>
      </c>
      <c r="E57" s="30"/>
      <c r="F57" s="11">
        <v>10.807</v>
      </c>
      <c r="G57" s="11">
        <v>397344</v>
      </c>
      <c r="I57" s="26">
        <v>11.443</v>
      </c>
      <c r="J57" s="11">
        <v>4634774</v>
      </c>
      <c r="K57" s="41"/>
      <c r="L57" s="11">
        <v>12.833</v>
      </c>
      <c r="M57" s="11">
        <v>1791739</v>
      </c>
      <c r="O57" s="26">
        <v>16.306999999999999</v>
      </c>
      <c r="P57" s="11">
        <v>364867</v>
      </c>
      <c r="Q57" s="44"/>
      <c r="T57" s="3"/>
      <c r="U57" s="11">
        <v>18.86</v>
      </c>
      <c r="V57" s="11">
        <v>81466</v>
      </c>
      <c r="W57" s="14"/>
      <c r="X57" s="11">
        <v>19.356999999999999</v>
      </c>
      <c r="Y57" s="11">
        <v>1181064</v>
      </c>
      <c r="Z57" s="49"/>
      <c r="AC57" s="3"/>
    </row>
    <row r="58" spans="1:29" ht="15.75" customHeight="1">
      <c r="A58" s="2" t="s">
        <v>90</v>
      </c>
      <c r="B58" s="37" t="s">
        <v>88</v>
      </c>
      <c r="C58" s="11">
        <v>8.16</v>
      </c>
      <c r="D58" s="11">
        <v>1210421</v>
      </c>
      <c r="E58" s="30"/>
      <c r="F58" s="11">
        <v>10.803000000000001</v>
      </c>
      <c r="G58" s="11">
        <v>367704</v>
      </c>
      <c r="I58" s="26">
        <v>11.443</v>
      </c>
      <c r="J58" s="11">
        <v>4652754</v>
      </c>
      <c r="K58" s="41"/>
      <c r="L58" s="11">
        <v>12.83</v>
      </c>
      <c r="M58" s="11">
        <v>1744311</v>
      </c>
      <c r="O58" s="26">
        <v>16.303000000000001</v>
      </c>
      <c r="P58" s="11">
        <v>381127</v>
      </c>
      <c r="Q58" s="44"/>
      <c r="T58" s="3"/>
      <c r="U58" s="11">
        <v>18.853000000000002</v>
      </c>
      <c r="V58" s="11">
        <v>52044</v>
      </c>
      <c r="W58" s="14"/>
      <c r="X58" s="11">
        <v>19.353000000000002</v>
      </c>
      <c r="Y58" s="11">
        <v>1215873</v>
      </c>
      <c r="Z58" s="49"/>
      <c r="AC58" s="3"/>
    </row>
    <row r="59" spans="1:29" ht="15.75" customHeight="1">
      <c r="A59" s="2" t="s">
        <v>91</v>
      </c>
      <c r="B59" s="37" t="s">
        <v>92</v>
      </c>
      <c r="C59" s="11">
        <v>8.16</v>
      </c>
      <c r="D59" s="11">
        <v>984046</v>
      </c>
      <c r="E59" s="30"/>
      <c r="F59" s="11">
        <v>10.797000000000001</v>
      </c>
      <c r="G59" s="11">
        <v>404603</v>
      </c>
      <c r="I59" s="26">
        <v>11.436999999999999</v>
      </c>
      <c r="J59" s="11">
        <v>4574756</v>
      </c>
      <c r="K59" s="41"/>
      <c r="L59" s="11">
        <v>12.827</v>
      </c>
      <c r="M59" s="11">
        <v>1763416</v>
      </c>
      <c r="O59" s="17"/>
      <c r="Q59" s="44"/>
      <c r="R59" s="11">
        <v>16.856999999999999</v>
      </c>
      <c r="S59" s="11">
        <v>288251</v>
      </c>
      <c r="T59" s="3"/>
      <c r="U59" s="11">
        <v>17.763000000000002</v>
      </c>
      <c r="V59" s="11">
        <v>865</v>
      </c>
      <c r="W59" s="14"/>
      <c r="X59" s="11">
        <v>19.356999999999999</v>
      </c>
      <c r="Y59" s="11">
        <v>1199383</v>
      </c>
      <c r="Z59" s="49"/>
      <c r="AC59" s="3"/>
    </row>
    <row r="60" spans="1:29" ht="15.75" customHeight="1">
      <c r="A60" s="2" t="s">
        <v>93</v>
      </c>
      <c r="B60" s="37" t="s">
        <v>92</v>
      </c>
      <c r="C60" s="11">
        <v>8.17</v>
      </c>
      <c r="D60" s="11">
        <v>750900</v>
      </c>
      <c r="E60" s="30"/>
      <c r="F60" s="11">
        <v>10.803000000000001</v>
      </c>
      <c r="G60" s="11">
        <v>475525</v>
      </c>
      <c r="I60" s="26">
        <v>11.452999999999999</v>
      </c>
      <c r="J60" s="11">
        <v>5561599</v>
      </c>
      <c r="K60" s="41"/>
      <c r="L60" s="11">
        <v>12.833</v>
      </c>
      <c r="M60" s="11">
        <v>1888635</v>
      </c>
      <c r="O60" s="17"/>
      <c r="Q60" s="44"/>
      <c r="R60" s="11">
        <v>16.873000000000001</v>
      </c>
      <c r="S60" s="11">
        <v>348276</v>
      </c>
      <c r="T60" s="3"/>
      <c r="U60" s="11">
        <v>18.853000000000002</v>
      </c>
      <c r="V60" s="11">
        <v>91187</v>
      </c>
      <c r="W60" s="14"/>
      <c r="X60" s="11">
        <v>19.36</v>
      </c>
      <c r="Y60" s="11">
        <v>1379283</v>
      </c>
      <c r="Z60" s="49"/>
      <c r="AC60" s="3"/>
    </row>
    <row r="61" spans="1:29" ht="15.75" customHeight="1">
      <c r="A61" s="2" t="s">
        <v>94</v>
      </c>
      <c r="B61" s="37" t="s">
        <v>92</v>
      </c>
      <c r="C61" s="11">
        <v>8.173</v>
      </c>
      <c r="D61" s="11">
        <v>671880</v>
      </c>
      <c r="E61" s="30"/>
      <c r="F61" s="11">
        <v>10.797000000000001</v>
      </c>
      <c r="G61" s="11">
        <v>453042</v>
      </c>
      <c r="I61" s="26">
        <v>11.446999999999999</v>
      </c>
      <c r="J61" s="11">
        <v>4949059</v>
      </c>
      <c r="K61" s="41"/>
      <c r="L61" s="11">
        <v>12.833</v>
      </c>
      <c r="M61" s="11">
        <v>1837475</v>
      </c>
      <c r="O61" s="17"/>
      <c r="Q61" s="44"/>
      <c r="R61" s="11">
        <v>16.87</v>
      </c>
      <c r="S61" s="11">
        <v>286973</v>
      </c>
      <c r="T61" s="3"/>
      <c r="U61" s="11">
        <v>18.856999999999999</v>
      </c>
      <c r="V61" s="11">
        <v>49526</v>
      </c>
      <c r="W61" s="14"/>
      <c r="X61" s="11">
        <v>19.36</v>
      </c>
      <c r="Y61" s="11">
        <v>1226588</v>
      </c>
      <c r="Z61" s="49"/>
      <c r="AC61" s="3"/>
    </row>
    <row r="62" spans="1:29" ht="15.75" customHeight="1">
      <c r="A62" s="2" t="s">
        <v>95</v>
      </c>
      <c r="B62" s="37" t="s">
        <v>96</v>
      </c>
      <c r="C62" s="11">
        <v>8.16</v>
      </c>
      <c r="D62" s="11">
        <v>1312140</v>
      </c>
      <c r="E62" s="30"/>
      <c r="F62" s="11">
        <v>10.81</v>
      </c>
      <c r="G62" s="11">
        <v>487573</v>
      </c>
      <c r="I62" s="26">
        <v>11.45</v>
      </c>
      <c r="J62" s="11">
        <v>4865464</v>
      </c>
      <c r="K62" s="41"/>
      <c r="L62" s="11">
        <v>12.83</v>
      </c>
      <c r="M62" s="11">
        <v>1855343</v>
      </c>
      <c r="O62" s="26">
        <v>16.283000000000001</v>
      </c>
      <c r="P62" s="11">
        <v>341089</v>
      </c>
      <c r="Q62" s="44"/>
      <c r="T62" s="3"/>
      <c r="U62" s="11">
        <v>18.527000000000001</v>
      </c>
      <c r="V62" s="11">
        <v>58291</v>
      </c>
      <c r="W62" s="14"/>
      <c r="X62" s="11">
        <v>19.356999999999999</v>
      </c>
      <c r="Y62" s="11">
        <v>1351735</v>
      </c>
      <c r="Z62" s="49"/>
      <c r="AC62" s="3"/>
    </row>
    <row r="63" spans="1:29" ht="15.75" customHeight="1">
      <c r="A63" s="2" t="s">
        <v>97</v>
      </c>
      <c r="B63" s="37" t="s">
        <v>96</v>
      </c>
      <c r="C63" s="11">
        <v>8.17</v>
      </c>
      <c r="D63" s="11">
        <v>733853</v>
      </c>
      <c r="E63" s="30"/>
      <c r="F63" s="11">
        <v>10.81</v>
      </c>
      <c r="G63" s="11">
        <v>472219</v>
      </c>
      <c r="I63" s="26">
        <v>11.446999999999999</v>
      </c>
      <c r="J63" s="11">
        <v>4396974</v>
      </c>
      <c r="K63" s="41"/>
      <c r="L63" s="11">
        <v>12.833</v>
      </c>
      <c r="M63" s="11">
        <v>1830963</v>
      </c>
      <c r="O63" s="26">
        <v>16.292999999999999</v>
      </c>
      <c r="P63" s="11">
        <v>337228</v>
      </c>
      <c r="Q63" s="44"/>
      <c r="T63" s="3"/>
      <c r="U63" s="11">
        <v>18.542999999999999</v>
      </c>
      <c r="V63" s="11">
        <v>82861</v>
      </c>
      <c r="W63" s="14"/>
      <c r="X63" s="11">
        <v>19.36</v>
      </c>
      <c r="Y63" s="11">
        <v>1276370</v>
      </c>
      <c r="Z63" s="49"/>
      <c r="AC63" s="3"/>
    </row>
    <row r="64" spans="1:29" ht="15.75" customHeight="1">
      <c r="A64" s="2" t="s">
        <v>98</v>
      </c>
      <c r="B64" s="37" t="s">
        <v>96</v>
      </c>
      <c r="C64" s="11">
        <v>8.1769999999999996</v>
      </c>
      <c r="D64" s="11">
        <v>665194</v>
      </c>
      <c r="E64" s="30"/>
      <c r="F64" s="11">
        <v>10.792999999999999</v>
      </c>
      <c r="G64" s="11">
        <v>514547</v>
      </c>
      <c r="I64" s="26">
        <v>11.457000000000001</v>
      </c>
      <c r="J64" s="11">
        <v>5940703</v>
      </c>
      <c r="K64" s="41"/>
      <c r="L64" s="11">
        <v>12.833</v>
      </c>
      <c r="M64" s="11">
        <v>1919034</v>
      </c>
      <c r="O64" s="26">
        <v>16.887</v>
      </c>
      <c r="P64" s="11">
        <v>351040</v>
      </c>
      <c r="Q64" s="44"/>
      <c r="T64" s="3"/>
      <c r="U64" s="11">
        <v>18.547000000000001</v>
      </c>
      <c r="V64" s="11">
        <v>77060</v>
      </c>
      <c r="W64" s="14"/>
      <c r="X64" s="11">
        <v>19.36</v>
      </c>
      <c r="Y64" s="11">
        <v>1709266</v>
      </c>
      <c r="Z64" s="49"/>
      <c r="AC64" s="3"/>
    </row>
    <row r="65" spans="1:29" ht="15.75" customHeight="1">
      <c r="A65" s="2" t="s">
        <v>99</v>
      </c>
      <c r="B65" s="37" t="s">
        <v>100</v>
      </c>
      <c r="C65" s="11">
        <v>8.16</v>
      </c>
      <c r="D65" s="11">
        <v>1649110</v>
      </c>
      <c r="E65" s="30"/>
      <c r="F65" s="11">
        <v>10.8</v>
      </c>
      <c r="G65" s="11">
        <v>504424</v>
      </c>
      <c r="I65" s="26">
        <v>11.457000000000001</v>
      </c>
      <c r="J65" s="11">
        <v>6106085</v>
      </c>
      <c r="K65" s="41"/>
      <c r="L65" s="11">
        <v>12.833</v>
      </c>
      <c r="M65" s="11">
        <v>1966323</v>
      </c>
      <c r="O65" s="26">
        <v>16.32</v>
      </c>
      <c r="P65" s="11">
        <v>358928</v>
      </c>
      <c r="Q65" s="44"/>
      <c r="T65" s="3"/>
      <c r="U65" s="11">
        <v>18.25</v>
      </c>
      <c r="V65" s="11">
        <v>56345</v>
      </c>
      <c r="W65" s="14"/>
      <c r="X65" s="11">
        <v>19.36</v>
      </c>
      <c r="Y65" s="11">
        <v>1682901</v>
      </c>
      <c r="Z65" s="49"/>
      <c r="AC65" s="3"/>
    </row>
    <row r="66" spans="1:29" ht="15.75" customHeight="1">
      <c r="A66" s="2" t="s">
        <v>101</v>
      </c>
      <c r="B66" s="37" t="s">
        <v>100</v>
      </c>
      <c r="C66" s="11">
        <v>8.17</v>
      </c>
      <c r="D66" s="11">
        <v>935373</v>
      </c>
      <c r="E66" s="30"/>
      <c r="F66" s="11">
        <v>10.79</v>
      </c>
      <c r="G66" s="11">
        <v>523588</v>
      </c>
      <c r="I66" s="26">
        <v>11.46</v>
      </c>
      <c r="J66" s="11">
        <v>6723629</v>
      </c>
      <c r="K66" s="41"/>
      <c r="L66" s="11">
        <v>12.837</v>
      </c>
      <c r="M66" s="11">
        <v>1951117</v>
      </c>
      <c r="O66" s="17"/>
      <c r="Q66" s="44"/>
      <c r="R66" s="11">
        <v>16.89</v>
      </c>
      <c r="S66" s="11">
        <v>411484</v>
      </c>
      <c r="T66" s="3"/>
      <c r="U66" s="11">
        <v>18.553000000000001</v>
      </c>
      <c r="V66" s="11">
        <v>73646</v>
      </c>
      <c r="W66" s="14"/>
      <c r="X66" s="11">
        <v>19.363</v>
      </c>
      <c r="Y66" s="11">
        <v>1975961</v>
      </c>
      <c r="Z66" s="49"/>
      <c r="AC66" s="3"/>
    </row>
    <row r="67" spans="1:29" ht="15.75" customHeight="1">
      <c r="A67" s="2" t="s">
        <v>102</v>
      </c>
      <c r="B67" s="37" t="s">
        <v>100</v>
      </c>
      <c r="C67" s="11">
        <v>8.17</v>
      </c>
      <c r="D67" s="11">
        <v>694474</v>
      </c>
      <c r="E67" s="30"/>
      <c r="F67" s="11">
        <v>10.81</v>
      </c>
      <c r="G67" s="11">
        <v>434531</v>
      </c>
      <c r="I67" s="26">
        <v>11.457000000000001</v>
      </c>
      <c r="J67" s="11">
        <v>5252879</v>
      </c>
      <c r="K67" s="41"/>
      <c r="L67" s="11">
        <v>12.833</v>
      </c>
      <c r="M67" s="11">
        <v>1858199</v>
      </c>
      <c r="O67" s="26">
        <v>16.329999999999998</v>
      </c>
      <c r="P67" s="11">
        <v>358821</v>
      </c>
      <c r="Q67" s="44"/>
      <c r="T67" s="3"/>
      <c r="U67" s="11">
        <v>18.55</v>
      </c>
      <c r="V67" s="11">
        <v>93379</v>
      </c>
      <c r="W67" s="14"/>
      <c r="X67" s="11">
        <v>19.363</v>
      </c>
      <c r="Y67" s="11">
        <v>1395582</v>
      </c>
      <c r="Z67" s="49"/>
      <c r="AC67" s="3"/>
    </row>
    <row r="68" spans="1:29" ht="15.75" customHeight="1">
      <c r="A68" s="2" t="s">
        <v>103</v>
      </c>
      <c r="B68" s="37" t="s">
        <v>104</v>
      </c>
      <c r="C68" s="11">
        <v>8.1630000000000003</v>
      </c>
      <c r="D68" s="11">
        <v>1613812</v>
      </c>
      <c r="E68" s="30"/>
      <c r="F68" s="11">
        <v>10.797000000000001</v>
      </c>
      <c r="G68" s="11">
        <v>422023</v>
      </c>
      <c r="I68" s="26">
        <v>11.46</v>
      </c>
      <c r="J68" s="11">
        <v>5252645</v>
      </c>
      <c r="K68" s="41"/>
      <c r="L68" s="11">
        <v>12.837</v>
      </c>
      <c r="M68" s="11">
        <v>1783263</v>
      </c>
      <c r="O68" s="26">
        <v>16.332999999999998</v>
      </c>
      <c r="P68" s="11">
        <v>239512</v>
      </c>
      <c r="Q68" s="44"/>
      <c r="T68" s="3"/>
      <c r="U68" s="11">
        <v>18.247</v>
      </c>
      <c r="V68" s="11">
        <v>6631</v>
      </c>
      <c r="W68" s="14"/>
      <c r="X68" s="11">
        <v>19.367000000000001</v>
      </c>
      <c r="Y68" s="11">
        <v>1176100</v>
      </c>
      <c r="Z68" s="49"/>
      <c r="AC68" s="3"/>
    </row>
    <row r="69" spans="1:29" ht="15.75" customHeight="1">
      <c r="A69" s="2" t="s">
        <v>105</v>
      </c>
      <c r="B69" s="37" t="s">
        <v>104</v>
      </c>
      <c r="C69" s="11">
        <v>8.1630000000000003</v>
      </c>
      <c r="D69" s="11">
        <v>1226697</v>
      </c>
      <c r="E69" s="30"/>
      <c r="F69" s="11">
        <v>10.817</v>
      </c>
      <c r="G69" s="11">
        <v>475271</v>
      </c>
      <c r="I69" s="26">
        <v>11.462999999999999</v>
      </c>
      <c r="J69" s="11">
        <v>5351082</v>
      </c>
      <c r="K69" s="41"/>
      <c r="L69" s="11">
        <v>12.84</v>
      </c>
      <c r="M69" s="11">
        <v>1908184</v>
      </c>
      <c r="O69" s="26">
        <v>16.337</v>
      </c>
      <c r="P69" s="11">
        <v>304530</v>
      </c>
      <c r="Q69" s="44"/>
      <c r="T69" s="3"/>
      <c r="U69" s="11">
        <v>18.62</v>
      </c>
      <c r="V69" s="11">
        <v>59796</v>
      </c>
      <c r="W69" s="14"/>
      <c r="X69" s="11">
        <v>19.37</v>
      </c>
      <c r="Y69" s="11">
        <v>1359438</v>
      </c>
      <c r="Z69" s="49"/>
      <c r="AC69" s="3"/>
    </row>
    <row r="70" spans="1:29" ht="15.75" customHeight="1">
      <c r="A70" s="2" t="s">
        <v>106</v>
      </c>
      <c r="B70" s="37" t="s">
        <v>104</v>
      </c>
      <c r="C70" s="11">
        <v>8.173</v>
      </c>
      <c r="D70" s="11">
        <v>812385</v>
      </c>
      <c r="E70" s="30"/>
      <c r="F70" s="11">
        <v>10.823</v>
      </c>
      <c r="G70" s="11">
        <v>521515</v>
      </c>
      <c r="I70" s="26">
        <v>11.462999999999999</v>
      </c>
      <c r="J70" s="11">
        <v>5223390</v>
      </c>
      <c r="K70" s="41"/>
      <c r="L70" s="11">
        <v>12.837</v>
      </c>
      <c r="M70" s="11">
        <v>1856358</v>
      </c>
      <c r="O70" s="26">
        <v>16.329999999999998</v>
      </c>
      <c r="P70" s="11">
        <v>303871</v>
      </c>
      <c r="Q70" s="44"/>
      <c r="T70" s="3"/>
      <c r="U70" s="11">
        <v>17.786999999999999</v>
      </c>
      <c r="V70" s="11">
        <v>63666</v>
      </c>
      <c r="W70" s="14"/>
      <c r="X70" s="11">
        <v>19.367000000000001</v>
      </c>
      <c r="Y70" s="11">
        <v>1316429</v>
      </c>
      <c r="Z70" s="49"/>
      <c r="AC70" s="3"/>
    </row>
    <row r="71" spans="1:29" ht="15.75" customHeight="1">
      <c r="A71" s="2" t="s">
        <v>107</v>
      </c>
      <c r="B71" s="37" t="s">
        <v>108</v>
      </c>
      <c r="C71" s="11">
        <v>8.1630000000000003</v>
      </c>
      <c r="D71" s="11">
        <v>1183367</v>
      </c>
      <c r="E71" s="30"/>
      <c r="F71" s="11">
        <v>10.79</v>
      </c>
      <c r="G71" s="11">
        <v>413406</v>
      </c>
      <c r="I71" s="26">
        <v>11.462999999999999</v>
      </c>
      <c r="J71" s="11">
        <v>6309926</v>
      </c>
      <c r="K71" s="41"/>
      <c r="L71" s="11">
        <v>12.83</v>
      </c>
      <c r="M71" s="11">
        <v>1671960</v>
      </c>
      <c r="O71" s="17"/>
      <c r="Q71" s="44"/>
      <c r="R71" s="11">
        <v>16.922999999999998</v>
      </c>
      <c r="S71" s="11">
        <v>219700</v>
      </c>
      <c r="T71" s="3"/>
      <c r="U71" s="11">
        <v>18.170000000000002</v>
      </c>
      <c r="V71" s="11">
        <v>36557</v>
      </c>
      <c r="W71" s="14"/>
      <c r="X71" s="11">
        <v>19.367000000000001</v>
      </c>
      <c r="Y71" s="11">
        <v>1469565</v>
      </c>
      <c r="Z71" s="49"/>
      <c r="AC71" s="3"/>
    </row>
    <row r="72" spans="1:29" ht="15.75" customHeight="1">
      <c r="A72" s="2" t="s">
        <v>109</v>
      </c>
      <c r="B72" s="37" t="s">
        <v>108</v>
      </c>
      <c r="C72" s="11">
        <v>8.17</v>
      </c>
      <c r="D72" s="11">
        <v>825431</v>
      </c>
      <c r="E72" s="30"/>
      <c r="F72" s="11">
        <v>10.807</v>
      </c>
      <c r="G72" s="11">
        <v>454932</v>
      </c>
      <c r="I72" s="26">
        <v>11.46</v>
      </c>
      <c r="J72" s="11">
        <v>5081809</v>
      </c>
      <c r="K72" s="41"/>
      <c r="L72" s="11">
        <v>12.833</v>
      </c>
      <c r="M72" s="11">
        <v>1661440</v>
      </c>
      <c r="O72" s="26">
        <v>16.327000000000002</v>
      </c>
      <c r="P72" s="11">
        <v>206553</v>
      </c>
      <c r="Q72" s="44"/>
      <c r="T72" s="3"/>
      <c r="U72" s="11">
        <v>17.832999999999998</v>
      </c>
      <c r="V72" s="11">
        <v>36523</v>
      </c>
      <c r="W72" s="14"/>
      <c r="X72" s="11">
        <v>19.367000000000001</v>
      </c>
      <c r="Y72" s="11">
        <v>1125512</v>
      </c>
      <c r="Z72" s="49"/>
      <c r="AC72" s="3"/>
    </row>
    <row r="73" spans="1:29" ht="15.75" customHeight="1">
      <c r="A73" s="2" t="s">
        <v>110</v>
      </c>
      <c r="B73" s="37" t="s">
        <v>108</v>
      </c>
      <c r="C73" s="11">
        <v>8.1630000000000003</v>
      </c>
      <c r="D73" s="11">
        <v>883813</v>
      </c>
      <c r="E73" s="30"/>
      <c r="F73" s="11">
        <v>10.8</v>
      </c>
      <c r="G73" s="11">
        <v>472988</v>
      </c>
      <c r="I73" s="26">
        <v>11.462999999999999</v>
      </c>
      <c r="J73" s="11">
        <v>4927278</v>
      </c>
      <c r="K73" s="41"/>
      <c r="L73" s="11">
        <v>12.833</v>
      </c>
      <c r="M73" s="11">
        <v>1823287</v>
      </c>
      <c r="O73" s="26">
        <v>16.306999999999999</v>
      </c>
      <c r="P73" s="11">
        <v>228020</v>
      </c>
      <c r="Q73" s="44"/>
      <c r="T73" s="3"/>
      <c r="U73" s="11">
        <v>17.727</v>
      </c>
      <c r="V73" s="11">
        <v>58212</v>
      </c>
      <c r="W73" s="14"/>
      <c r="X73" s="11">
        <v>19.363</v>
      </c>
      <c r="Y73" s="11">
        <v>1080087</v>
      </c>
      <c r="Z73" s="49"/>
      <c r="AC73" s="3"/>
    </row>
    <row r="74" spans="1:29" ht="15.75" customHeight="1">
      <c r="A74" s="2" t="s">
        <v>111</v>
      </c>
      <c r="B74" s="37" t="s">
        <v>112</v>
      </c>
      <c r="C74" s="11">
        <v>8.1630000000000003</v>
      </c>
      <c r="D74" s="11">
        <v>1015352</v>
      </c>
      <c r="E74" s="30"/>
      <c r="F74" s="11">
        <v>10.823</v>
      </c>
      <c r="G74" s="11">
        <v>348538</v>
      </c>
      <c r="I74" s="26">
        <v>11.44</v>
      </c>
      <c r="J74" s="11">
        <v>3060781</v>
      </c>
      <c r="K74" s="41"/>
      <c r="L74" s="11">
        <v>12.833</v>
      </c>
      <c r="M74" s="11">
        <v>1636027</v>
      </c>
      <c r="O74" s="26">
        <v>16.317</v>
      </c>
      <c r="P74" s="11">
        <v>211075</v>
      </c>
      <c r="Q74" s="44"/>
      <c r="T74" s="3"/>
      <c r="U74" s="11">
        <v>18.53</v>
      </c>
      <c r="V74" s="11">
        <v>73020</v>
      </c>
      <c r="W74" s="14"/>
      <c r="X74" s="11">
        <v>19.363</v>
      </c>
      <c r="Y74" s="11">
        <v>595891</v>
      </c>
      <c r="Z74" s="49"/>
      <c r="AC74" s="3"/>
    </row>
    <row r="75" spans="1:29" ht="15.75" customHeight="1">
      <c r="A75" s="2" t="s">
        <v>113</v>
      </c>
      <c r="B75" s="37" t="s">
        <v>112</v>
      </c>
      <c r="C75" s="11">
        <v>8.1630000000000003</v>
      </c>
      <c r="D75" s="11">
        <v>738738</v>
      </c>
      <c r="E75" s="30"/>
      <c r="F75" s="11">
        <v>10.82</v>
      </c>
      <c r="G75" s="11">
        <v>335813</v>
      </c>
      <c r="I75" s="26">
        <v>11.436999999999999</v>
      </c>
      <c r="J75" s="11">
        <v>2941943</v>
      </c>
      <c r="K75" s="41"/>
      <c r="L75" s="11">
        <v>12.833</v>
      </c>
      <c r="M75" s="11">
        <v>1592270</v>
      </c>
      <c r="O75" s="26">
        <v>16.312999999999999</v>
      </c>
      <c r="P75" s="11">
        <v>252290</v>
      </c>
      <c r="Q75" s="44"/>
      <c r="T75" s="3"/>
      <c r="U75" s="11">
        <v>18.483000000000001</v>
      </c>
      <c r="V75" s="11">
        <v>68365</v>
      </c>
      <c r="W75" s="14"/>
      <c r="X75" s="11">
        <v>19.36</v>
      </c>
      <c r="Y75" s="11">
        <v>583050</v>
      </c>
      <c r="Z75" s="49"/>
      <c r="AC75" s="3"/>
    </row>
    <row r="76" spans="1:29" ht="15.75" customHeight="1">
      <c r="A76" s="2" t="s">
        <v>114</v>
      </c>
      <c r="B76" s="37" t="s">
        <v>112</v>
      </c>
      <c r="C76" s="11">
        <v>8.16</v>
      </c>
      <c r="D76" s="11">
        <v>633339</v>
      </c>
      <c r="E76" s="30"/>
      <c r="F76" s="11">
        <v>10.82</v>
      </c>
      <c r="G76" s="11">
        <v>360932</v>
      </c>
      <c r="I76" s="26">
        <v>11.44</v>
      </c>
      <c r="J76" s="11">
        <v>2982367</v>
      </c>
      <c r="K76" s="41"/>
      <c r="L76" s="11">
        <v>12.833</v>
      </c>
      <c r="M76" s="11">
        <v>1756198</v>
      </c>
      <c r="O76" s="26">
        <v>16.323</v>
      </c>
      <c r="P76" s="11">
        <v>224569</v>
      </c>
      <c r="Q76" s="44"/>
      <c r="T76" s="3"/>
      <c r="U76" s="11">
        <v>18.510000000000002</v>
      </c>
      <c r="V76" s="11">
        <v>77114</v>
      </c>
      <c r="W76" s="14"/>
      <c r="X76" s="11">
        <v>19.363</v>
      </c>
      <c r="Y76" s="11">
        <v>459676</v>
      </c>
      <c r="Z76" s="49"/>
      <c r="AC76" s="3"/>
    </row>
    <row r="77" spans="1:29" ht="15.75" customHeight="1">
      <c r="A77" s="2" t="s">
        <v>115</v>
      </c>
      <c r="B77" s="37" t="s">
        <v>116</v>
      </c>
      <c r="C77" s="11">
        <v>8.1630000000000003</v>
      </c>
      <c r="D77" s="11">
        <v>1107579</v>
      </c>
      <c r="E77" s="30"/>
      <c r="F77" s="11">
        <v>10.817</v>
      </c>
      <c r="G77" s="11">
        <v>371388</v>
      </c>
      <c r="I77" s="26">
        <v>11.443</v>
      </c>
      <c r="J77" s="11">
        <v>3766131</v>
      </c>
      <c r="K77" s="41"/>
      <c r="L77" s="11">
        <v>12.833</v>
      </c>
      <c r="M77" s="11">
        <v>1637265</v>
      </c>
      <c r="O77" s="26">
        <v>16.312999999999999</v>
      </c>
      <c r="P77" s="11">
        <v>248905</v>
      </c>
      <c r="Q77" s="44"/>
      <c r="T77" s="3"/>
      <c r="U77" s="11">
        <v>18.507000000000001</v>
      </c>
      <c r="V77" s="11">
        <v>25904</v>
      </c>
      <c r="W77" s="14"/>
      <c r="X77" s="11">
        <v>19.363</v>
      </c>
      <c r="Y77" s="11">
        <v>757384</v>
      </c>
      <c r="Z77" s="49"/>
      <c r="AC77" s="3"/>
    </row>
    <row r="78" spans="1:29" ht="15.75" customHeight="1">
      <c r="A78" s="2" t="s">
        <v>117</v>
      </c>
      <c r="B78" s="37" t="s">
        <v>116</v>
      </c>
      <c r="C78" s="11">
        <v>8.1669999999999998</v>
      </c>
      <c r="D78" s="11">
        <v>759941</v>
      </c>
      <c r="E78" s="30"/>
      <c r="F78" s="11">
        <v>10.813000000000001</v>
      </c>
      <c r="G78" s="11">
        <v>379930</v>
      </c>
      <c r="I78" s="26">
        <v>11.45</v>
      </c>
      <c r="J78" s="11">
        <v>4533395</v>
      </c>
      <c r="K78" s="41"/>
      <c r="L78" s="11">
        <v>12.837</v>
      </c>
      <c r="M78" s="11">
        <v>1729779</v>
      </c>
      <c r="O78" s="26">
        <v>16.312999999999999</v>
      </c>
      <c r="P78" s="11">
        <v>282689</v>
      </c>
      <c r="Q78" s="44"/>
      <c r="T78" s="3"/>
      <c r="U78" s="11">
        <v>18.486999999999998</v>
      </c>
      <c r="V78" s="11">
        <v>120668</v>
      </c>
      <c r="W78" s="14"/>
      <c r="X78" s="11">
        <v>19.36</v>
      </c>
      <c r="Y78" s="11">
        <v>873617</v>
      </c>
      <c r="Z78" s="49"/>
      <c r="AC78" s="3"/>
    </row>
    <row r="79" spans="1:29" ht="15.75" customHeight="1">
      <c r="A79" s="2" t="s">
        <v>118</v>
      </c>
      <c r="B79" s="37" t="s">
        <v>116</v>
      </c>
      <c r="C79" s="11">
        <v>8.173</v>
      </c>
      <c r="D79" s="11">
        <v>731809</v>
      </c>
      <c r="E79" s="30"/>
      <c r="F79" s="11">
        <v>10.817</v>
      </c>
      <c r="G79" s="11">
        <v>406968</v>
      </c>
      <c r="I79" s="26">
        <v>11.44</v>
      </c>
      <c r="J79" s="11">
        <v>3679073</v>
      </c>
      <c r="K79" s="41"/>
      <c r="L79" s="11">
        <v>12.83</v>
      </c>
      <c r="M79" s="11">
        <v>1693529</v>
      </c>
      <c r="O79" s="26">
        <v>16.309999999999999</v>
      </c>
      <c r="P79" s="11">
        <v>265608</v>
      </c>
      <c r="Q79" s="44"/>
      <c r="T79" s="3"/>
      <c r="U79" s="11">
        <v>18.492999999999999</v>
      </c>
      <c r="V79" s="11">
        <v>87826</v>
      </c>
      <c r="W79" s="14"/>
      <c r="X79" s="11">
        <v>19.356999999999999</v>
      </c>
      <c r="Y79" s="11">
        <v>684549</v>
      </c>
      <c r="Z79" s="49"/>
      <c r="AC79" s="3"/>
    </row>
    <row r="80" spans="1:29" ht="15.75" customHeight="1">
      <c r="A80" s="2" t="s">
        <v>119</v>
      </c>
      <c r="B80" s="37" t="s">
        <v>120</v>
      </c>
      <c r="C80" s="11">
        <v>8.16</v>
      </c>
      <c r="D80" s="11">
        <v>1200762</v>
      </c>
      <c r="E80" s="30"/>
      <c r="F80" s="11">
        <v>10.813000000000001</v>
      </c>
      <c r="G80" s="11">
        <v>390983</v>
      </c>
      <c r="I80" s="26">
        <v>11.443</v>
      </c>
      <c r="J80" s="11">
        <v>4302002</v>
      </c>
      <c r="K80" s="41"/>
      <c r="L80" s="11">
        <v>12.833</v>
      </c>
      <c r="M80" s="11">
        <v>1673001</v>
      </c>
      <c r="O80" s="26">
        <v>16.309999999999999</v>
      </c>
      <c r="P80" s="11">
        <v>277063</v>
      </c>
      <c r="Q80" s="44"/>
      <c r="T80" s="3"/>
      <c r="U80" s="11">
        <v>18.507000000000001</v>
      </c>
      <c r="V80" s="11">
        <v>73736</v>
      </c>
      <c r="W80" s="14"/>
      <c r="X80" s="11">
        <v>19.36</v>
      </c>
      <c r="Y80" s="11">
        <v>893220</v>
      </c>
      <c r="Z80" s="49"/>
      <c r="AC80" s="3"/>
    </row>
    <row r="81" spans="1:29" ht="15.75" customHeight="1">
      <c r="A81" s="2" t="s">
        <v>121</v>
      </c>
      <c r="B81" s="37" t="s">
        <v>120</v>
      </c>
      <c r="C81" s="11">
        <v>8.17</v>
      </c>
      <c r="D81" s="11">
        <v>785044</v>
      </c>
      <c r="E81" s="30"/>
      <c r="F81" s="11">
        <v>10.817</v>
      </c>
      <c r="G81" s="11">
        <v>435692</v>
      </c>
      <c r="I81" s="26">
        <v>11.44</v>
      </c>
      <c r="J81" s="11">
        <v>3599971</v>
      </c>
      <c r="K81" s="41"/>
      <c r="L81" s="11">
        <v>12.833</v>
      </c>
      <c r="M81" s="11">
        <v>1837977</v>
      </c>
      <c r="O81" s="26">
        <v>16.317</v>
      </c>
      <c r="P81" s="11">
        <v>361258</v>
      </c>
      <c r="Q81" s="44"/>
      <c r="T81" s="3"/>
      <c r="U81" s="11">
        <v>18.483000000000001</v>
      </c>
      <c r="V81" s="11">
        <v>109661</v>
      </c>
      <c r="W81" s="14"/>
      <c r="X81" s="11">
        <v>19.356999999999999</v>
      </c>
      <c r="Y81" s="11">
        <v>799725</v>
      </c>
      <c r="Z81" s="49"/>
      <c r="AC81" s="3"/>
    </row>
    <row r="82" spans="1:29" ht="15.75" customHeight="1">
      <c r="A82" s="2" t="s">
        <v>122</v>
      </c>
      <c r="B82" s="37" t="s">
        <v>120</v>
      </c>
      <c r="C82" s="11">
        <v>8.1630000000000003</v>
      </c>
      <c r="D82" s="11">
        <v>1253430</v>
      </c>
      <c r="E82" s="30"/>
      <c r="F82" s="11">
        <v>10.813000000000001</v>
      </c>
      <c r="G82" s="11">
        <v>380045</v>
      </c>
      <c r="I82" s="26">
        <v>11.44</v>
      </c>
      <c r="J82" s="11">
        <v>3719975</v>
      </c>
      <c r="K82" s="41"/>
      <c r="L82" s="11">
        <v>12.833</v>
      </c>
      <c r="M82" s="11">
        <v>1765874</v>
      </c>
      <c r="O82" s="26">
        <v>16.317</v>
      </c>
      <c r="P82" s="11">
        <v>347226</v>
      </c>
      <c r="Q82" s="44"/>
      <c r="T82" s="3"/>
      <c r="U82" s="11">
        <v>18.497</v>
      </c>
      <c r="V82" s="11">
        <v>97498</v>
      </c>
      <c r="W82" s="14"/>
      <c r="X82" s="11">
        <v>19.36</v>
      </c>
      <c r="Y82" s="11">
        <v>798416</v>
      </c>
      <c r="Z82" s="49"/>
      <c r="AC82" s="3"/>
    </row>
    <row r="83" spans="1:29" ht="15.75" customHeight="1">
      <c r="A83" s="2" t="s">
        <v>123</v>
      </c>
      <c r="B83" s="37" t="s">
        <v>124</v>
      </c>
      <c r="C83" s="11">
        <v>8.1630000000000003</v>
      </c>
      <c r="D83" s="11">
        <v>1252720</v>
      </c>
      <c r="E83" s="30"/>
      <c r="F83" s="11">
        <v>10.817</v>
      </c>
      <c r="G83" s="11">
        <v>366531</v>
      </c>
      <c r="I83" s="26">
        <v>11.436999999999999</v>
      </c>
      <c r="J83" s="11">
        <v>3147434</v>
      </c>
      <c r="K83" s="41"/>
      <c r="L83" s="11">
        <v>12.833</v>
      </c>
      <c r="M83" s="11">
        <v>1732409</v>
      </c>
      <c r="O83" s="26">
        <v>16.317</v>
      </c>
      <c r="P83" s="11">
        <v>281754</v>
      </c>
      <c r="Q83" s="44"/>
      <c r="T83" s="3"/>
      <c r="U83" s="11">
        <v>18.497</v>
      </c>
      <c r="V83" s="11">
        <v>103376</v>
      </c>
      <c r="W83" s="14"/>
      <c r="X83" s="11">
        <v>19.36</v>
      </c>
      <c r="Y83" s="11">
        <v>649882</v>
      </c>
      <c r="Z83" s="49"/>
      <c r="AC83" s="3"/>
    </row>
    <row r="84" spans="1:29" ht="15.75" customHeight="1">
      <c r="A84" s="2" t="s">
        <v>125</v>
      </c>
      <c r="B84" s="37" t="s">
        <v>124</v>
      </c>
      <c r="C84" s="11">
        <v>8.1630000000000003</v>
      </c>
      <c r="D84" s="11">
        <v>1440135</v>
      </c>
      <c r="E84" s="30"/>
      <c r="F84" s="11">
        <v>10.817</v>
      </c>
      <c r="G84" s="11">
        <v>432876</v>
      </c>
      <c r="I84" s="26">
        <v>11.436999999999999</v>
      </c>
      <c r="J84" s="11">
        <v>3385277</v>
      </c>
      <c r="K84" s="41"/>
      <c r="L84" s="11">
        <v>12.833</v>
      </c>
      <c r="M84" s="11">
        <v>1848217</v>
      </c>
      <c r="O84" s="26">
        <v>16.303000000000001</v>
      </c>
      <c r="P84" s="11">
        <v>375633</v>
      </c>
      <c r="Q84" s="44"/>
      <c r="T84" s="3"/>
      <c r="U84" s="11">
        <v>18.486999999999998</v>
      </c>
      <c r="V84" s="11">
        <v>105752</v>
      </c>
      <c r="W84" s="14"/>
      <c r="X84" s="11">
        <v>19.36</v>
      </c>
      <c r="Y84" s="11">
        <v>727676</v>
      </c>
      <c r="Z84" s="49"/>
      <c r="AC84" s="3"/>
    </row>
    <row r="85" spans="1:29" ht="15.75" customHeight="1">
      <c r="A85" s="2" t="s">
        <v>126</v>
      </c>
      <c r="B85" s="37" t="s">
        <v>124</v>
      </c>
      <c r="C85" s="11">
        <v>8.1630000000000003</v>
      </c>
      <c r="D85" s="11">
        <v>1449045</v>
      </c>
      <c r="E85" s="30"/>
      <c r="F85" s="11">
        <v>10.813000000000001</v>
      </c>
      <c r="G85" s="11">
        <v>389379</v>
      </c>
      <c r="I85" s="26">
        <v>11.436999999999999</v>
      </c>
      <c r="J85" s="11">
        <v>3456019</v>
      </c>
      <c r="K85" s="41"/>
      <c r="L85" s="11">
        <v>12.833</v>
      </c>
      <c r="M85" s="11">
        <v>1827926</v>
      </c>
      <c r="O85" s="26">
        <v>16.3</v>
      </c>
      <c r="P85" s="11">
        <v>279295</v>
      </c>
      <c r="Q85" s="44"/>
      <c r="T85" s="3"/>
      <c r="U85" s="11">
        <v>18.503</v>
      </c>
      <c r="V85" s="11">
        <v>86837</v>
      </c>
      <c r="W85" s="14"/>
      <c r="X85" s="11">
        <v>19.356999999999999</v>
      </c>
      <c r="Y85" s="11">
        <v>646628</v>
      </c>
      <c r="Z85" s="49"/>
      <c r="AC85" s="3"/>
    </row>
    <row r="86" spans="1:29" ht="15.75" customHeight="1">
      <c r="A86" s="2" t="s">
        <v>127</v>
      </c>
      <c r="B86" s="37" t="s">
        <v>128</v>
      </c>
      <c r="C86" s="11">
        <v>8.157</v>
      </c>
      <c r="D86" s="11">
        <v>1001175</v>
      </c>
      <c r="E86" s="30"/>
      <c r="F86" s="11">
        <v>10.807</v>
      </c>
      <c r="G86" s="11">
        <v>300416</v>
      </c>
      <c r="I86" s="26">
        <v>11.42</v>
      </c>
      <c r="J86" s="11">
        <v>2837673</v>
      </c>
      <c r="K86" s="41"/>
      <c r="L86" s="11">
        <v>12.83</v>
      </c>
      <c r="M86" s="11">
        <v>2029792</v>
      </c>
      <c r="O86" s="26">
        <v>16.27</v>
      </c>
      <c r="P86" s="11">
        <v>147291</v>
      </c>
      <c r="Q86" s="44"/>
      <c r="T86" s="3"/>
      <c r="U86" s="11">
        <v>18.516999999999999</v>
      </c>
      <c r="V86" s="11">
        <v>770</v>
      </c>
      <c r="W86" s="14"/>
      <c r="X86" s="11">
        <v>19.363</v>
      </c>
      <c r="Y86" s="11">
        <v>1307735</v>
      </c>
      <c r="Z86" s="49"/>
      <c r="AC86" s="3"/>
    </row>
    <row r="87" spans="1:29" ht="15.75" customHeight="1">
      <c r="A87" s="2" t="s">
        <v>129</v>
      </c>
      <c r="B87" s="37" t="s">
        <v>128</v>
      </c>
      <c r="C87" s="11">
        <v>8.157</v>
      </c>
      <c r="D87" s="11">
        <v>996851</v>
      </c>
      <c r="E87" s="30"/>
      <c r="F87" s="11">
        <v>10.807</v>
      </c>
      <c r="G87" s="11">
        <v>249119</v>
      </c>
      <c r="I87" s="26">
        <v>11.423</v>
      </c>
      <c r="J87" s="11">
        <v>3247685</v>
      </c>
      <c r="K87" s="41"/>
      <c r="L87" s="11">
        <v>12.83</v>
      </c>
      <c r="M87" s="11">
        <v>1938808</v>
      </c>
      <c r="O87" s="26">
        <v>16.309999999999999</v>
      </c>
      <c r="P87" s="11">
        <v>209059</v>
      </c>
      <c r="Q87" s="44"/>
      <c r="T87" s="3"/>
      <c r="U87" s="11">
        <v>19.027000000000001</v>
      </c>
      <c r="V87" s="11">
        <v>40995</v>
      </c>
      <c r="W87" s="14"/>
      <c r="X87" s="11">
        <v>20.007000000000001</v>
      </c>
      <c r="Y87" s="11">
        <v>794984</v>
      </c>
      <c r="Z87" s="49"/>
      <c r="AC87" s="3"/>
    </row>
    <row r="88" spans="1:29" ht="15.75" customHeight="1">
      <c r="A88" s="2" t="s">
        <v>130</v>
      </c>
      <c r="B88" s="37" t="s">
        <v>128</v>
      </c>
      <c r="C88" s="11">
        <v>8.157</v>
      </c>
      <c r="D88" s="11">
        <v>1008949</v>
      </c>
      <c r="E88" s="30"/>
      <c r="F88" s="11">
        <v>10.803000000000001</v>
      </c>
      <c r="G88" s="11">
        <v>281644</v>
      </c>
      <c r="I88" s="26">
        <v>11.417</v>
      </c>
      <c r="J88" s="11">
        <v>2918361</v>
      </c>
      <c r="K88" s="41"/>
      <c r="L88" s="11">
        <v>12.83</v>
      </c>
      <c r="M88" s="11">
        <v>2000281</v>
      </c>
      <c r="O88" s="26">
        <v>16.277000000000001</v>
      </c>
      <c r="P88" s="11">
        <v>252940</v>
      </c>
      <c r="Q88" s="44"/>
      <c r="T88" s="3"/>
      <c r="U88" s="11">
        <v>19.013000000000002</v>
      </c>
      <c r="V88" s="11">
        <v>34123</v>
      </c>
      <c r="W88" s="14"/>
      <c r="X88" s="11">
        <v>19.97</v>
      </c>
      <c r="Y88" s="11">
        <v>694128</v>
      </c>
      <c r="Z88" s="49"/>
      <c r="AC88" s="3"/>
    </row>
    <row r="89" spans="1:29" ht="15.75" customHeight="1">
      <c r="A89" s="2" t="s">
        <v>131</v>
      </c>
      <c r="B89" s="37" t="s">
        <v>132</v>
      </c>
      <c r="C89" s="11">
        <v>8.15</v>
      </c>
      <c r="D89" s="11">
        <v>925060</v>
      </c>
      <c r="E89" s="30"/>
      <c r="F89" s="11">
        <v>10.8</v>
      </c>
      <c r="G89" s="11">
        <v>307895</v>
      </c>
      <c r="I89" s="26">
        <v>11.417</v>
      </c>
      <c r="J89" s="11">
        <v>2946679</v>
      </c>
      <c r="K89" s="41"/>
      <c r="L89" s="11">
        <v>12.83</v>
      </c>
      <c r="M89" s="11">
        <v>1987346</v>
      </c>
      <c r="O89" s="26">
        <v>16.266999999999999</v>
      </c>
      <c r="P89" s="11">
        <v>197014</v>
      </c>
      <c r="Q89" s="44"/>
      <c r="T89" s="3"/>
      <c r="U89" s="11">
        <v>19.056999999999999</v>
      </c>
      <c r="V89" s="11">
        <v>57721</v>
      </c>
      <c r="W89" s="14"/>
      <c r="X89" s="11">
        <v>19.937000000000001</v>
      </c>
      <c r="Y89" s="11">
        <v>670865</v>
      </c>
      <c r="Z89" s="49"/>
      <c r="AC89" s="3"/>
    </row>
    <row r="90" spans="1:29" ht="15.75" customHeight="1">
      <c r="A90" s="2" t="s">
        <v>133</v>
      </c>
      <c r="B90" s="37" t="s">
        <v>132</v>
      </c>
      <c r="C90" s="11">
        <v>8.15</v>
      </c>
      <c r="D90" s="11">
        <v>1134453</v>
      </c>
      <c r="E90" s="30"/>
      <c r="F90" s="11">
        <v>10.803000000000001</v>
      </c>
      <c r="G90" s="11">
        <v>284419</v>
      </c>
      <c r="I90" s="26">
        <v>11.42</v>
      </c>
      <c r="J90" s="11">
        <v>3152903</v>
      </c>
      <c r="K90" s="41"/>
      <c r="L90" s="11">
        <v>12.827</v>
      </c>
      <c r="M90" s="11">
        <v>1917266</v>
      </c>
      <c r="O90" s="26">
        <v>16.273</v>
      </c>
      <c r="P90" s="11">
        <v>223739</v>
      </c>
      <c r="Q90" s="44"/>
      <c r="T90" s="3"/>
      <c r="U90" s="11">
        <v>17.742999999999999</v>
      </c>
      <c r="V90" s="11">
        <v>60096</v>
      </c>
      <c r="W90" s="14"/>
      <c r="X90" s="11">
        <v>19.902999999999999</v>
      </c>
      <c r="Y90" s="11">
        <v>740184</v>
      </c>
      <c r="Z90" s="49"/>
      <c r="AC90" s="3"/>
    </row>
    <row r="91" spans="1:29" ht="15.75" customHeight="1">
      <c r="A91" s="2" t="s">
        <v>134</v>
      </c>
      <c r="B91" s="37" t="s">
        <v>132</v>
      </c>
      <c r="C91" s="11">
        <v>8.1530000000000005</v>
      </c>
      <c r="D91" s="11">
        <v>1052420</v>
      </c>
      <c r="E91" s="30"/>
      <c r="F91" s="11">
        <v>10.803000000000001</v>
      </c>
      <c r="G91" s="11">
        <v>288446</v>
      </c>
      <c r="I91" s="26">
        <v>11.43</v>
      </c>
      <c r="J91" s="11">
        <v>3833344</v>
      </c>
      <c r="K91" s="41"/>
      <c r="L91" s="11">
        <v>12.833</v>
      </c>
      <c r="M91" s="11">
        <v>1933757</v>
      </c>
      <c r="O91" s="26">
        <v>16.273</v>
      </c>
      <c r="P91" s="11">
        <v>191192</v>
      </c>
      <c r="Q91" s="44"/>
      <c r="T91" s="3"/>
      <c r="U91" s="11">
        <v>19.04</v>
      </c>
      <c r="V91" s="11">
        <v>59777</v>
      </c>
      <c r="W91" s="14"/>
      <c r="X91" s="11">
        <v>19.893000000000001</v>
      </c>
      <c r="Y91" s="11">
        <v>548160</v>
      </c>
      <c r="Z91" s="49"/>
      <c r="AC91" s="3"/>
    </row>
    <row r="92" spans="1:29" ht="15.75" customHeight="1">
      <c r="A92" s="2" t="s">
        <v>135</v>
      </c>
      <c r="B92" s="37" t="s">
        <v>136</v>
      </c>
      <c r="C92" s="11">
        <v>8.1530000000000005</v>
      </c>
      <c r="D92" s="11">
        <v>1050412</v>
      </c>
      <c r="E92" s="30"/>
      <c r="F92" s="11">
        <v>10.803000000000001</v>
      </c>
      <c r="G92" s="11">
        <v>287992</v>
      </c>
      <c r="I92" s="26">
        <v>11.413</v>
      </c>
      <c r="J92" s="11">
        <v>2667618</v>
      </c>
      <c r="K92" s="41"/>
      <c r="L92" s="11">
        <v>12.827</v>
      </c>
      <c r="M92" s="11">
        <v>1813882</v>
      </c>
      <c r="O92" s="26">
        <v>16.283000000000001</v>
      </c>
      <c r="P92" s="11">
        <v>296062</v>
      </c>
      <c r="Q92" s="44"/>
      <c r="T92" s="3"/>
      <c r="U92" s="11">
        <v>18.927</v>
      </c>
      <c r="V92" s="11">
        <v>47794</v>
      </c>
      <c r="W92" s="14"/>
      <c r="X92" s="11">
        <v>19.88</v>
      </c>
      <c r="Y92" s="11">
        <v>592459</v>
      </c>
      <c r="Z92" s="49"/>
      <c r="AC92" s="3"/>
    </row>
    <row r="93" spans="1:29" ht="15.75" customHeight="1">
      <c r="A93" s="2" t="s">
        <v>137</v>
      </c>
      <c r="B93" s="37" t="s">
        <v>136</v>
      </c>
      <c r="C93" s="11">
        <v>8.157</v>
      </c>
      <c r="D93" s="11">
        <v>1094114</v>
      </c>
      <c r="E93" s="30"/>
      <c r="F93" s="11">
        <v>10.8</v>
      </c>
      <c r="G93" s="11">
        <v>300859</v>
      </c>
      <c r="I93" s="26">
        <v>11.417</v>
      </c>
      <c r="J93" s="11">
        <v>2756967</v>
      </c>
      <c r="K93" s="41"/>
      <c r="L93" s="11">
        <v>12.83</v>
      </c>
      <c r="M93" s="11">
        <v>1843755</v>
      </c>
      <c r="O93" s="26">
        <v>16.286999999999999</v>
      </c>
      <c r="P93" s="11">
        <v>294201</v>
      </c>
      <c r="Q93" s="44"/>
      <c r="T93" s="3"/>
      <c r="U93" s="11">
        <v>18.922999999999998</v>
      </c>
      <c r="V93" s="11">
        <v>49349</v>
      </c>
      <c r="W93" s="14"/>
      <c r="X93" s="11">
        <v>19.343</v>
      </c>
      <c r="Y93" s="11">
        <v>3104866</v>
      </c>
      <c r="Z93" s="49"/>
      <c r="AC93" s="3"/>
    </row>
    <row r="94" spans="1:29" ht="15.75" customHeight="1">
      <c r="A94" s="2" t="s">
        <v>138</v>
      </c>
      <c r="B94" s="37" t="s">
        <v>136</v>
      </c>
      <c r="C94" s="11">
        <v>8.157</v>
      </c>
      <c r="D94" s="11">
        <v>1029133</v>
      </c>
      <c r="E94" s="30"/>
      <c r="F94" s="11">
        <v>10.803000000000001</v>
      </c>
      <c r="G94" s="11">
        <v>313726</v>
      </c>
      <c r="I94" s="26">
        <v>11.417</v>
      </c>
      <c r="J94" s="11">
        <v>2814680</v>
      </c>
      <c r="K94" s="41"/>
      <c r="L94" s="11">
        <v>12.83</v>
      </c>
      <c r="M94" s="11">
        <v>1997672</v>
      </c>
      <c r="O94" s="26">
        <v>16.286999999999999</v>
      </c>
      <c r="P94" s="11">
        <v>281573</v>
      </c>
      <c r="Q94" s="44"/>
      <c r="T94" s="3"/>
      <c r="U94" s="11">
        <v>18.93</v>
      </c>
      <c r="V94" s="11">
        <v>51529</v>
      </c>
      <c r="W94" s="14"/>
      <c r="X94" s="11">
        <v>19.350000000000001</v>
      </c>
      <c r="Y94" s="11">
        <v>2248410</v>
      </c>
      <c r="Z94" s="49"/>
      <c r="AC94" s="3"/>
    </row>
    <row r="95" spans="1:29" ht="15.75" customHeight="1">
      <c r="A95" s="2" t="s">
        <v>139</v>
      </c>
      <c r="B95" s="37" t="s">
        <v>140</v>
      </c>
      <c r="C95" s="11">
        <v>8.157</v>
      </c>
      <c r="D95" s="11">
        <v>1225392</v>
      </c>
      <c r="E95" s="30"/>
      <c r="F95" s="11">
        <v>10.803000000000001</v>
      </c>
      <c r="G95" s="11">
        <v>258793</v>
      </c>
      <c r="I95" s="26">
        <v>11.423</v>
      </c>
      <c r="J95" s="11">
        <v>3442731</v>
      </c>
      <c r="K95" s="41"/>
      <c r="L95" s="11">
        <v>12.827</v>
      </c>
      <c r="M95" s="11">
        <v>1679328</v>
      </c>
      <c r="O95" s="26">
        <v>16.286999999999999</v>
      </c>
      <c r="P95" s="11">
        <v>212499</v>
      </c>
      <c r="Q95" s="44"/>
      <c r="T95" s="3"/>
      <c r="U95" s="11">
        <v>18.516999999999999</v>
      </c>
      <c r="V95" s="11">
        <v>6486</v>
      </c>
      <c r="W95" s="14"/>
      <c r="X95" s="11">
        <v>19.347000000000001</v>
      </c>
      <c r="Y95" s="11">
        <v>2473398</v>
      </c>
      <c r="Z95" s="49"/>
      <c r="AC95" s="3"/>
    </row>
    <row r="96" spans="1:29" ht="15.75" customHeight="1">
      <c r="A96" s="2" t="s">
        <v>141</v>
      </c>
      <c r="B96" s="37" t="s">
        <v>140</v>
      </c>
      <c r="C96" s="11">
        <v>8.1530000000000005</v>
      </c>
      <c r="D96" s="11">
        <v>1243724</v>
      </c>
      <c r="E96" s="30"/>
      <c r="F96" s="11">
        <v>10.797000000000001</v>
      </c>
      <c r="G96" s="11">
        <v>253542</v>
      </c>
      <c r="I96" s="26">
        <v>11.417</v>
      </c>
      <c r="J96" s="11">
        <v>2911419</v>
      </c>
      <c r="K96" s="41"/>
      <c r="L96" s="11">
        <v>12.827</v>
      </c>
      <c r="M96" s="11">
        <v>1581196</v>
      </c>
      <c r="O96" s="26">
        <v>16.292999999999999</v>
      </c>
      <c r="P96" s="11">
        <v>226535</v>
      </c>
      <c r="Q96" s="44"/>
      <c r="T96" s="3"/>
      <c r="U96" s="11">
        <v>18.943000000000001</v>
      </c>
      <c r="V96" s="11">
        <v>72818</v>
      </c>
      <c r="W96" s="14"/>
      <c r="X96" s="11">
        <v>19.353000000000002</v>
      </c>
      <c r="Y96" s="11">
        <v>1207218</v>
      </c>
      <c r="Z96" s="49"/>
      <c r="AC96" s="3"/>
    </row>
    <row r="97" spans="1:29" ht="15.75" customHeight="1">
      <c r="A97" s="2" t="s">
        <v>142</v>
      </c>
      <c r="B97" s="37" t="s">
        <v>140</v>
      </c>
      <c r="C97" s="11">
        <v>8.157</v>
      </c>
      <c r="D97" s="11">
        <v>1175376</v>
      </c>
      <c r="E97" s="30"/>
      <c r="F97" s="11">
        <v>10.8</v>
      </c>
      <c r="G97" s="11">
        <v>242690</v>
      </c>
      <c r="I97" s="26">
        <v>11.42</v>
      </c>
      <c r="J97" s="11">
        <v>3206004</v>
      </c>
      <c r="K97" s="41"/>
      <c r="L97" s="11">
        <v>12.827</v>
      </c>
      <c r="M97" s="11">
        <v>1460089</v>
      </c>
      <c r="O97" s="26">
        <v>16.28</v>
      </c>
      <c r="P97" s="11">
        <v>262607</v>
      </c>
      <c r="Q97" s="44"/>
      <c r="T97" s="3"/>
      <c r="U97" s="11">
        <v>18.940000000000001</v>
      </c>
      <c r="V97" s="11">
        <v>74805</v>
      </c>
      <c r="W97" s="14"/>
      <c r="X97" s="36">
        <v>19.61</v>
      </c>
      <c r="Y97" s="36">
        <v>1155814</v>
      </c>
      <c r="Z97" s="49"/>
      <c r="AC97" s="3"/>
    </row>
    <row r="98" spans="1:29" ht="15.75" customHeight="1">
      <c r="A98" s="2" t="s">
        <v>143</v>
      </c>
      <c r="B98" s="37" t="s">
        <v>144</v>
      </c>
      <c r="C98" s="11">
        <v>8.15</v>
      </c>
      <c r="D98" s="11">
        <v>1166161</v>
      </c>
      <c r="E98" s="30"/>
      <c r="F98" s="11">
        <v>10.8</v>
      </c>
      <c r="G98" s="11">
        <v>278490</v>
      </c>
      <c r="I98" s="26">
        <v>11.42</v>
      </c>
      <c r="J98" s="11">
        <v>2976938</v>
      </c>
      <c r="K98" s="41"/>
      <c r="L98" s="11">
        <v>12.827</v>
      </c>
      <c r="M98" s="11">
        <v>1946492</v>
      </c>
      <c r="O98" s="26">
        <v>16.277000000000001</v>
      </c>
      <c r="P98" s="11">
        <v>198622</v>
      </c>
      <c r="Q98" s="44"/>
      <c r="T98" s="3"/>
      <c r="U98" s="11">
        <v>19.04</v>
      </c>
      <c r="V98" s="11">
        <v>33622</v>
      </c>
      <c r="W98" s="14"/>
      <c r="X98" s="36">
        <v>19.542999999999999</v>
      </c>
      <c r="Y98" s="36">
        <v>1457732</v>
      </c>
      <c r="Z98" s="49"/>
      <c r="AC98" s="3"/>
    </row>
    <row r="99" spans="1:29" ht="15.75" customHeight="1">
      <c r="A99" s="2" t="s">
        <v>145</v>
      </c>
      <c r="B99" s="37" t="s">
        <v>144</v>
      </c>
      <c r="C99" s="11">
        <v>8.157</v>
      </c>
      <c r="D99" s="11">
        <v>873983</v>
      </c>
      <c r="E99" s="30"/>
      <c r="F99" s="11">
        <v>10.813000000000001</v>
      </c>
      <c r="G99" s="11">
        <v>241675</v>
      </c>
      <c r="I99" s="26">
        <v>11.433</v>
      </c>
      <c r="J99" s="11">
        <v>3656625</v>
      </c>
      <c r="K99" s="41"/>
      <c r="L99" s="11">
        <v>12.833</v>
      </c>
      <c r="M99" s="11">
        <v>1954357</v>
      </c>
      <c r="O99" s="26">
        <v>16.323</v>
      </c>
      <c r="P99" s="11">
        <v>224559</v>
      </c>
      <c r="Q99" s="44"/>
      <c r="T99" s="3"/>
      <c r="U99" s="11">
        <v>19.09</v>
      </c>
      <c r="V99" s="11">
        <v>52153</v>
      </c>
      <c r="W99" s="14"/>
      <c r="X99" s="36">
        <v>19.553000000000001</v>
      </c>
      <c r="Y99" s="36">
        <v>1047676</v>
      </c>
      <c r="Z99" s="49"/>
      <c r="AC99" s="3"/>
    </row>
    <row r="100" spans="1:29" ht="15.75" customHeight="1">
      <c r="A100" s="2" t="s">
        <v>146</v>
      </c>
      <c r="B100" s="37" t="s">
        <v>144</v>
      </c>
      <c r="C100" s="11">
        <v>8.1530000000000005</v>
      </c>
      <c r="D100" s="11">
        <v>1146203</v>
      </c>
      <c r="E100" s="30"/>
      <c r="F100" s="11">
        <v>10.81</v>
      </c>
      <c r="G100" s="11">
        <v>272141</v>
      </c>
      <c r="I100" s="26">
        <v>11.43</v>
      </c>
      <c r="J100" s="11">
        <v>3392324</v>
      </c>
      <c r="K100" s="41"/>
      <c r="L100" s="11">
        <v>12.833</v>
      </c>
      <c r="M100" s="11">
        <v>2046451</v>
      </c>
      <c r="O100" s="26">
        <v>16.292999999999999</v>
      </c>
      <c r="P100" s="11">
        <v>196693</v>
      </c>
      <c r="Q100" s="44"/>
      <c r="T100" s="3"/>
      <c r="U100" s="11">
        <v>19.047000000000001</v>
      </c>
      <c r="V100" s="11">
        <v>37888</v>
      </c>
      <c r="W100" s="14"/>
      <c r="X100" s="36">
        <v>19.62</v>
      </c>
      <c r="Y100" s="36">
        <v>778641</v>
      </c>
      <c r="Z100" s="49"/>
      <c r="AC100" s="3"/>
    </row>
    <row r="101" spans="1:29" ht="15.75" customHeight="1">
      <c r="A101" s="2" t="s">
        <v>147</v>
      </c>
      <c r="B101" s="37" t="s">
        <v>148</v>
      </c>
      <c r="C101" s="11">
        <v>8.16</v>
      </c>
      <c r="D101" s="11">
        <v>1193766</v>
      </c>
      <c r="E101" s="30"/>
      <c r="F101" s="11">
        <v>10.813000000000001</v>
      </c>
      <c r="G101" s="11">
        <v>307022</v>
      </c>
      <c r="I101" s="26">
        <v>11.427</v>
      </c>
      <c r="J101" s="11">
        <v>3122259</v>
      </c>
      <c r="K101" s="41"/>
      <c r="L101" s="11">
        <v>12.833</v>
      </c>
      <c r="M101" s="11">
        <v>1888268</v>
      </c>
      <c r="O101" s="26">
        <v>16.297000000000001</v>
      </c>
      <c r="P101" s="11">
        <v>260783</v>
      </c>
      <c r="Q101" s="44"/>
      <c r="T101" s="3"/>
      <c r="U101" s="11">
        <v>18.972999999999999</v>
      </c>
      <c r="V101" s="11">
        <v>85454</v>
      </c>
      <c r="W101" s="14"/>
      <c r="X101" s="36">
        <v>19.649999999999999</v>
      </c>
      <c r="Y101" s="36">
        <v>561591</v>
      </c>
      <c r="Z101" s="49"/>
      <c r="AC101" s="3"/>
    </row>
    <row r="102" spans="1:29" ht="15.75" customHeight="1">
      <c r="A102" s="2" t="s">
        <v>149</v>
      </c>
      <c r="B102" s="37" t="s">
        <v>148</v>
      </c>
      <c r="C102" s="11">
        <v>8.157</v>
      </c>
      <c r="D102" s="11">
        <v>1162491</v>
      </c>
      <c r="E102" s="30"/>
      <c r="F102" s="11">
        <v>10.807</v>
      </c>
      <c r="G102" s="11">
        <v>308212</v>
      </c>
      <c r="I102" s="26">
        <v>11.423</v>
      </c>
      <c r="J102" s="11">
        <v>2855565</v>
      </c>
      <c r="K102" s="41"/>
      <c r="L102" s="11">
        <v>12.83</v>
      </c>
      <c r="M102" s="11">
        <v>1779248</v>
      </c>
      <c r="O102" s="26">
        <v>16.292999999999999</v>
      </c>
      <c r="P102" s="11">
        <v>241328</v>
      </c>
      <c r="Q102" s="44"/>
      <c r="T102" s="3"/>
      <c r="U102" s="11">
        <v>18.45</v>
      </c>
      <c r="V102" s="11">
        <v>53507</v>
      </c>
      <c r="W102" s="14"/>
      <c r="X102" s="36">
        <v>19.63</v>
      </c>
      <c r="Y102" s="36">
        <v>288483</v>
      </c>
      <c r="Z102" s="49"/>
      <c r="AC102" s="3"/>
    </row>
    <row r="103" spans="1:29" ht="15.75" customHeight="1">
      <c r="A103" s="2" t="s">
        <v>150</v>
      </c>
      <c r="B103" s="37" t="s">
        <v>148</v>
      </c>
      <c r="C103" s="11">
        <v>8.157</v>
      </c>
      <c r="D103" s="11">
        <v>1285035</v>
      </c>
      <c r="E103" s="30"/>
      <c r="F103" s="11">
        <v>10.81</v>
      </c>
      <c r="G103" s="11">
        <v>308398</v>
      </c>
      <c r="I103" s="26">
        <v>11.433</v>
      </c>
      <c r="J103" s="11">
        <v>3636512</v>
      </c>
      <c r="K103" s="41"/>
      <c r="L103" s="11">
        <v>12.833</v>
      </c>
      <c r="M103" s="11">
        <v>1990369</v>
      </c>
      <c r="O103" s="26">
        <v>16.29</v>
      </c>
      <c r="P103" s="11">
        <v>218946</v>
      </c>
      <c r="Q103" s="44"/>
      <c r="T103" s="3"/>
      <c r="U103" s="11">
        <v>18.927</v>
      </c>
      <c r="V103" s="11">
        <v>80665</v>
      </c>
      <c r="W103" s="14"/>
      <c r="X103" s="36">
        <v>19.62</v>
      </c>
      <c r="Y103" s="36">
        <v>467110</v>
      </c>
      <c r="Z103" s="49"/>
      <c r="AC103" s="3"/>
    </row>
    <row r="104" spans="1:29" ht="15.75" customHeight="1">
      <c r="A104" s="2" t="s">
        <v>151</v>
      </c>
      <c r="B104" s="37" t="s">
        <v>152</v>
      </c>
      <c r="C104" s="11">
        <v>8.16</v>
      </c>
      <c r="D104" s="11">
        <v>1089019</v>
      </c>
      <c r="E104" s="30"/>
      <c r="F104" s="11">
        <v>10.807</v>
      </c>
      <c r="G104" s="11">
        <v>253226</v>
      </c>
      <c r="I104" s="26">
        <v>11.427</v>
      </c>
      <c r="J104" s="11">
        <v>2892657</v>
      </c>
      <c r="K104" s="41"/>
      <c r="L104" s="11">
        <v>12.833</v>
      </c>
      <c r="M104" s="11">
        <v>1568820</v>
      </c>
      <c r="O104" s="26">
        <v>16.286999999999999</v>
      </c>
      <c r="P104" s="11">
        <v>218769</v>
      </c>
      <c r="Q104" s="44"/>
      <c r="T104" s="3"/>
      <c r="U104" s="11">
        <v>18.562999999999999</v>
      </c>
      <c r="V104" s="11">
        <v>5513</v>
      </c>
      <c r="W104" s="14"/>
      <c r="X104" s="36">
        <v>19.613</v>
      </c>
      <c r="Y104" s="36">
        <v>781583</v>
      </c>
      <c r="Z104" s="49"/>
      <c r="AC104" s="3"/>
    </row>
    <row r="105" spans="1:29" ht="15.75" customHeight="1">
      <c r="A105" s="2" t="s">
        <v>153</v>
      </c>
      <c r="B105" s="37" t="s">
        <v>152</v>
      </c>
      <c r="C105" s="11">
        <v>8.1530000000000005</v>
      </c>
      <c r="D105" s="11">
        <v>1011172</v>
      </c>
      <c r="E105" s="30"/>
      <c r="F105" s="11">
        <v>10.807</v>
      </c>
      <c r="G105" s="11">
        <v>286118</v>
      </c>
      <c r="I105" s="26">
        <v>11.423</v>
      </c>
      <c r="J105" s="11">
        <v>2865646</v>
      </c>
      <c r="K105" s="41"/>
      <c r="L105" s="11">
        <v>12.827</v>
      </c>
      <c r="M105" s="11">
        <v>1695112</v>
      </c>
      <c r="O105" s="26">
        <v>16.292999999999999</v>
      </c>
      <c r="P105" s="11">
        <v>306756</v>
      </c>
      <c r="Q105" s="44"/>
      <c r="T105" s="3"/>
      <c r="U105" s="11">
        <v>18.503</v>
      </c>
      <c r="V105" s="11">
        <v>66743</v>
      </c>
      <c r="W105" s="14"/>
      <c r="X105" s="36">
        <v>19.597000000000001</v>
      </c>
      <c r="Y105" s="36">
        <v>1010744</v>
      </c>
      <c r="Z105" s="49"/>
      <c r="AC105" s="3"/>
    </row>
    <row r="106" spans="1:29" ht="15.75" customHeight="1">
      <c r="A106" s="2" t="s">
        <v>154</v>
      </c>
      <c r="B106" s="37" t="s">
        <v>152</v>
      </c>
      <c r="C106" s="11">
        <v>8.16</v>
      </c>
      <c r="D106" s="11">
        <v>1210321</v>
      </c>
      <c r="E106" s="30"/>
      <c r="F106" s="11">
        <v>10.813000000000001</v>
      </c>
      <c r="G106" s="11">
        <v>300421</v>
      </c>
      <c r="I106" s="26">
        <v>11.43</v>
      </c>
      <c r="J106" s="11">
        <v>3006532</v>
      </c>
      <c r="K106" s="41"/>
      <c r="L106" s="11">
        <v>12.833</v>
      </c>
      <c r="M106" s="11">
        <v>1626394</v>
      </c>
      <c r="O106" s="26">
        <v>16.297000000000001</v>
      </c>
      <c r="P106" s="11">
        <v>274517</v>
      </c>
      <c r="Q106" s="44"/>
      <c r="T106" s="3"/>
      <c r="U106" s="11">
        <v>18.503</v>
      </c>
      <c r="V106" s="11">
        <v>53515</v>
      </c>
      <c r="W106" s="14"/>
      <c r="X106" s="36">
        <v>19.577000000000002</v>
      </c>
      <c r="Y106" s="36">
        <v>1003171</v>
      </c>
      <c r="Z106" s="49"/>
      <c r="AC106" s="3"/>
    </row>
    <row r="107" spans="1:29" ht="15.75" customHeight="1">
      <c r="A107" s="2" t="s">
        <v>155</v>
      </c>
      <c r="B107" s="37" t="s">
        <v>156</v>
      </c>
      <c r="C107" s="11">
        <v>8.16</v>
      </c>
      <c r="D107" s="11">
        <v>1312007</v>
      </c>
      <c r="E107" s="30"/>
      <c r="F107" s="11">
        <v>10.803000000000001</v>
      </c>
      <c r="G107" s="11">
        <v>357829</v>
      </c>
      <c r="I107" s="26">
        <v>11.433</v>
      </c>
      <c r="J107" s="11">
        <v>4222851</v>
      </c>
      <c r="K107" s="41"/>
      <c r="L107" s="11">
        <v>12.83</v>
      </c>
      <c r="M107" s="11">
        <v>1648136</v>
      </c>
      <c r="O107" s="26">
        <v>16.297000000000001</v>
      </c>
      <c r="P107" s="11">
        <v>319222</v>
      </c>
      <c r="Q107" s="44"/>
      <c r="T107" s="3"/>
      <c r="U107" s="11">
        <v>18.856999999999999</v>
      </c>
      <c r="V107" s="11">
        <v>46062</v>
      </c>
      <c r="W107" s="14"/>
      <c r="X107" s="36">
        <v>19.579999999999998</v>
      </c>
      <c r="Y107" s="36">
        <v>810083</v>
      </c>
      <c r="Z107" s="49"/>
      <c r="AC107" s="3"/>
    </row>
    <row r="108" spans="1:29" ht="15.75" customHeight="1">
      <c r="A108" s="2" t="s">
        <v>157</v>
      </c>
      <c r="B108" s="37" t="s">
        <v>156</v>
      </c>
      <c r="C108" s="11">
        <v>8.16</v>
      </c>
      <c r="D108" s="11">
        <v>1219298</v>
      </c>
      <c r="E108" s="30"/>
      <c r="F108" s="11">
        <v>10.803000000000001</v>
      </c>
      <c r="G108" s="11">
        <v>359722</v>
      </c>
      <c r="I108" s="26">
        <v>11.443</v>
      </c>
      <c r="J108" s="11">
        <v>5161964</v>
      </c>
      <c r="K108" s="41"/>
      <c r="L108" s="11">
        <v>12.83</v>
      </c>
      <c r="M108" s="11">
        <v>1728340</v>
      </c>
      <c r="O108" s="26">
        <v>16.297000000000001</v>
      </c>
      <c r="P108" s="11">
        <v>334487</v>
      </c>
      <c r="Q108" s="44"/>
      <c r="T108" s="3"/>
      <c r="U108" s="11">
        <v>17.93</v>
      </c>
      <c r="V108" s="11">
        <v>36842</v>
      </c>
      <c r="W108" s="14"/>
      <c r="X108" s="11">
        <v>19.34</v>
      </c>
      <c r="Y108" s="11">
        <v>2436652</v>
      </c>
      <c r="Z108" s="49"/>
      <c r="AC108" s="3"/>
    </row>
    <row r="109" spans="1:29" ht="15.75" customHeight="1">
      <c r="A109" s="2" t="s">
        <v>158</v>
      </c>
      <c r="B109" s="37" t="s">
        <v>156</v>
      </c>
      <c r="C109" s="11">
        <v>8.16</v>
      </c>
      <c r="D109" s="11">
        <v>1307860</v>
      </c>
      <c r="E109" s="30"/>
      <c r="F109" s="11">
        <v>10.8</v>
      </c>
      <c r="G109" s="11">
        <v>410869</v>
      </c>
      <c r="I109" s="26">
        <v>11.443</v>
      </c>
      <c r="J109" s="11">
        <v>5487345</v>
      </c>
      <c r="K109" s="41"/>
      <c r="L109" s="11">
        <v>12.83</v>
      </c>
      <c r="M109" s="11">
        <v>1819494</v>
      </c>
      <c r="O109" s="26">
        <v>16.297000000000001</v>
      </c>
      <c r="P109" s="11">
        <v>393619</v>
      </c>
      <c r="Q109" s="44"/>
      <c r="T109" s="3"/>
      <c r="U109" s="11">
        <v>18.492999999999999</v>
      </c>
      <c r="V109" s="11">
        <v>31571</v>
      </c>
      <c r="W109" s="14"/>
      <c r="X109" s="11">
        <v>19.337</v>
      </c>
      <c r="Y109" s="11">
        <v>2212781</v>
      </c>
      <c r="Z109" s="49"/>
      <c r="AC109" s="3"/>
    </row>
    <row r="110" spans="1:29" ht="15.75" customHeight="1">
      <c r="A110" s="2" t="s">
        <v>159</v>
      </c>
      <c r="B110" s="37" t="s">
        <v>160</v>
      </c>
      <c r="C110" s="11">
        <v>8.157</v>
      </c>
      <c r="D110" s="11">
        <v>1234868</v>
      </c>
      <c r="E110" s="30"/>
      <c r="F110" s="11">
        <v>10.807</v>
      </c>
      <c r="G110" s="11">
        <v>304444</v>
      </c>
      <c r="I110" s="26">
        <v>11.423</v>
      </c>
      <c r="J110" s="11">
        <v>2907378</v>
      </c>
      <c r="K110" s="41"/>
      <c r="L110" s="11">
        <v>12.833</v>
      </c>
      <c r="M110" s="11">
        <v>1851547</v>
      </c>
      <c r="O110" s="26">
        <v>16.283000000000001</v>
      </c>
      <c r="P110" s="11">
        <v>286971</v>
      </c>
      <c r="Q110" s="44"/>
      <c r="T110" s="3"/>
      <c r="U110" s="11">
        <v>18.946999999999999</v>
      </c>
      <c r="V110" s="11">
        <v>92473</v>
      </c>
      <c r="W110" s="14"/>
      <c r="X110" s="11">
        <v>19.34</v>
      </c>
      <c r="Y110" s="11">
        <v>2406637</v>
      </c>
      <c r="Z110" s="49"/>
      <c r="AC110" s="3"/>
    </row>
    <row r="111" spans="1:29" ht="15.75" customHeight="1">
      <c r="A111" s="2" t="s">
        <v>161</v>
      </c>
      <c r="B111" s="37" t="s">
        <v>160</v>
      </c>
      <c r="C111" s="11">
        <v>8.1530000000000005</v>
      </c>
      <c r="D111" s="11">
        <v>1244045</v>
      </c>
      <c r="E111" s="30"/>
      <c r="F111" s="11">
        <v>10.8</v>
      </c>
      <c r="G111" s="11">
        <v>293045</v>
      </c>
      <c r="I111" s="26">
        <v>11.42</v>
      </c>
      <c r="J111" s="11">
        <v>2940806</v>
      </c>
      <c r="K111" s="41"/>
      <c r="L111" s="11">
        <v>12.83</v>
      </c>
      <c r="M111" s="11">
        <v>1824298</v>
      </c>
      <c r="O111" s="26">
        <v>16.273</v>
      </c>
      <c r="P111" s="11">
        <v>264258</v>
      </c>
      <c r="Q111" s="44"/>
      <c r="T111" s="3"/>
      <c r="U111" s="11">
        <v>18.952999999999999</v>
      </c>
      <c r="V111" s="11">
        <v>75736</v>
      </c>
      <c r="W111" s="14"/>
      <c r="X111" s="36">
        <v>19.577000000000002</v>
      </c>
      <c r="Y111" s="36">
        <v>837826</v>
      </c>
      <c r="Z111" s="49"/>
      <c r="AC111" s="3"/>
    </row>
    <row r="112" spans="1:29" ht="15.75" customHeight="1">
      <c r="A112" s="2" t="s">
        <v>162</v>
      </c>
      <c r="B112" s="37" t="s">
        <v>160</v>
      </c>
      <c r="C112" s="11">
        <v>8.16</v>
      </c>
      <c r="D112" s="11">
        <v>1190093</v>
      </c>
      <c r="E112" s="30"/>
      <c r="F112" s="11">
        <v>10.807</v>
      </c>
      <c r="G112" s="11">
        <v>286055</v>
      </c>
      <c r="I112" s="26">
        <v>11.427</v>
      </c>
      <c r="J112" s="11">
        <v>3103090</v>
      </c>
      <c r="K112" s="41"/>
      <c r="L112" s="11">
        <v>12.833</v>
      </c>
      <c r="M112" s="11">
        <v>1721424</v>
      </c>
      <c r="O112" s="26">
        <v>16.286999999999999</v>
      </c>
      <c r="P112" s="11">
        <v>260924</v>
      </c>
      <c r="Q112" s="44"/>
      <c r="T112" s="3"/>
      <c r="U112" s="11">
        <v>18.963000000000001</v>
      </c>
      <c r="V112" s="11">
        <v>74912</v>
      </c>
      <c r="W112" s="14"/>
      <c r="X112" s="36">
        <v>19.59</v>
      </c>
      <c r="Y112" s="36">
        <v>752875</v>
      </c>
      <c r="Z112" s="49"/>
      <c r="AC112" s="3"/>
    </row>
    <row r="113" spans="1:29" ht="15.75" customHeight="1">
      <c r="A113" s="2" t="s">
        <v>163</v>
      </c>
      <c r="B113" s="37" t="s">
        <v>164</v>
      </c>
      <c r="C113" s="11">
        <v>8.1530000000000005</v>
      </c>
      <c r="D113" s="11">
        <v>1091233</v>
      </c>
      <c r="E113" s="30"/>
      <c r="F113" s="11">
        <v>10.766999999999999</v>
      </c>
      <c r="G113" s="11">
        <v>461309</v>
      </c>
      <c r="I113" s="26">
        <v>11.436999999999999</v>
      </c>
      <c r="J113" s="11">
        <v>4698363</v>
      </c>
      <c r="K113" s="41"/>
      <c r="L113" s="11">
        <v>12.833</v>
      </c>
      <c r="M113" s="11">
        <v>2124619</v>
      </c>
      <c r="O113" s="26">
        <v>16.317</v>
      </c>
      <c r="P113" s="11">
        <v>162966</v>
      </c>
      <c r="Q113" s="44"/>
      <c r="T113" s="3"/>
      <c r="U113" s="11">
        <v>18.907</v>
      </c>
      <c r="V113" s="11">
        <v>522</v>
      </c>
      <c r="W113" s="14"/>
      <c r="X113" s="36">
        <v>19.582999999999998</v>
      </c>
      <c r="Y113" s="36">
        <v>881023</v>
      </c>
      <c r="Z113" s="49"/>
      <c r="AC113" s="3"/>
    </row>
    <row r="114" spans="1:29" ht="15.75" customHeight="1">
      <c r="A114" s="2" t="s">
        <v>165</v>
      </c>
      <c r="B114" s="37" t="s">
        <v>164</v>
      </c>
      <c r="C114" s="11">
        <v>8.1530000000000005</v>
      </c>
      <c r="D114" s="11">
        <v>1076381</v>
      </c>
      <c r="E114" s="30"/>
      <c r="F114" s="11">
        <v>10.542999999999999</v>
      </c>
      <c r="G114" s="11">
        <v>422906</v>
      </c>
      <c r="I114" s="26">
        <v>11.43</v>
      </c>
      <c r="J114" s="11">
        <v>4205513</v>
      </c>
      <c r="K114" s="41"/>
      <c r="L114" s="11">
        <v>12.83</v>
      </c>
      <c r="M114" s="11">
        <v>2000894</v>
      </c>
      <c r="O114" s="26">
        <v>16.32</v>
      </c>
      <c r="P114" s="11">
        <v>247862</v>
      </c>
      <c r="Q114" s="44"/>
      <c r="T114" s="3"/>
      <c r="U114" s="11">
        <v>18.957000000000001</v>
      </c>
      <c r="V114" s="11">
        <v>40148</v>
      </c>
      <c r="W114" s="14"/>
      <c r="X114" s="36">
        <v>19.577000000000002</v>
      </c>
      <c r="Y114" s="36">
        <v>519876</v>
      </c>
      <c r="Z114" s="49"/>
      <c r="AC114" s="3"/>
    </row>
    <row r="115" spans="1:29" ht="15.75" customHeight="1">
      <c r="A115" s="2" t="s">
        <v>166</v>
      </c>
      <c r="B115" s="37" t="s">
        <v>164</v>
      </c>
      <c r="C115" s="11">
        <v>8.1530000000000005</v>
      </c>
      <c r="D115" s="11">
        <v>1043258</v>
      </c>
      <c r="E115" s="30"/>
      <c r="F115" s="11">
        <v>10.54</v>
      </c>
      <c r="G115" s="11">
        <v>432900</v>
      </c>
      <c r="I115" s="26">
        <v>11.433</v>
      </c>
      <c r="J115" s="11">
        <v>4801077</v>
      </c>
      <c r="K115" s="41"/>
      <c r="L115" s="11">
        <v>12.83</v>
      </c>
      <c r="M115" s="11">
        <v>2121870</v>
      </c>
      <c r="O115" s="26">
        <v>16.329999999999998</v>
      </c>
      <c r="P115" s="11">
        <v>268574</v>
      </c>
      <c r="Q115" s="44"/>
      <c r="T115" s="3"/>
      <c r="U115" s="11">
        <v>18.933</v>
      </c>
      <c r="V115" s="11">
        <v>35020</v>
      </c>
      <c r="W115" s="14"/>
      <c r="X115" s="36">
        <v>19.597000000000001</v>
      </c>
      <c r="Y115" s="36">
        <v>371160</v>
      </c>
      <c r="Z115" s="49"/>
      <c r="AC115" s="3"/>
    </row>
    <row r="116" spans="1:29" ht="15.75" customHeight="1">
      <c r="A116" s="2" t="s">
        <v>167</v>
      </c>
      <c r="B116" s="37" t="s">
        <v>168</v>
      </c>
      <c r="C116" s="11">
        <v>8.1530000000000005</v>
      </c>
      <c r="D116" s="11">
        <v>1106518</v>
      </c>
      <c r="E116" s="30"/>
      <c r="F116" s="11">
        <v>10.54</v>
      </c>
      <c r="G116" s="11">
        <v>393405</v>
      </c>
      <c r="I116" s="26">
        <v>11.433</v>
      </c>
      <c r="J116" s="11">
        <v>4949850</v>
      </c>
      <c r="K116" s="41"/>
      <c r="L116" s="11">
        <v>12.83</v>
      </c>
      <c r="M116" s="11">
        <v>2011298</v>
      </c>
      <c r="O116" s="26">
        <v>16.303000000000001</v>
      </c>
      <c r="P116" s="11">
        <v>209900</v>
      </c>
      <c r="Q116" s="44"/>
      <c r="T116" s="3"/>
      <c r="U116" s="11">
        <v>18.93</v>
      </c>
      <c r="V116" s="11">
        <v>25599</v>
      </c>
      <c r="W116" s="14"/>
      <c r="X116" s="36">
        <v>19.646999999999998</v>
      </c>
      <c r="Y116" s="36">
        <v>457581</v>
      </c>
      <c r="Z116" s="49"/>
      <c r="AC116" s="3"/>
    </row>
    <row r="117" spans="1:29" ht="15.75" customHeight="1">
      <c r="A117" s="2" t="s">
        <v>169</v>
      </c>
      <c r="B117" s="37" t="s">
        <v>168</v>
      </c>
      <c r="C117" s="11">
        <v>8.1530000000000005</v>
      </c>
      <c r="D117" s="11">
        <v>1117306</v>
      </c>
      <c r="E117" s="30"/>
      <c r="F117" s="11">
        <v>10.542999999999999</v>
      </c>
      <c r="G117" s="11">
        <v>452262</v>
      </c>
      <c r="I117" s="26">
        <v>11.433</v>
      </c>
      <c r="J117" s="11">
        <v>4918710</v>
      </c>
      <c r="K117" s="41"/>
      <c r="L117" s="11">
        <v>12.833</v>
      </c>
      <c r="M117" s="11">
        <v>2227627</v>
      </c>
      <c r="O117" s="26">
        <v>16.303000000000001</v>
      </c>
      <c r="P117" s="11">
        <v>247980</v>
      </c>
      <c r="Q117" s="44"/>
      <c r="T117" s="3"/>
      <c r="U117" s="11">
        <v>18.917000000000002</v>
      </c>
      <c r="V117" s="11">
        <v>15468</v>
      </c>
      <c r="W117" s="14"/>
      <c r="X117" s="36">
        <v>19.690000000000001</v>
      </c>
      <c r="Y117" s="36">
        <v>361900</v>
      </c>
      <c r="Z117" s="49"/>
      <c r="AC117" s="3"/>
    </row>
    <row r="118" spans="1:29" ht="15.75" customHeight="1">
      <c r="A118" s="2" t="s">
        <v>170</v>
      </c>
      <c r="B118" s="37" t="s">
        <v>168</v>
      </c>
      <c r="C118" s="11">
        <v>8.1530000000000005</v>
      </c>
      <c r="D118" s="11">
        <v>1121460</v>
      </c>
      <c r="E118" s="30"/>
      <c r="F118" s="11">
        <v>10.54</v>
      </c>
      <c r="G118" s="11">
        <v>429046</v>
      </c>
      <c r="I118" s="26">
        <v>11.43</v>
      </c>
      <c r="J118" s="11">
        <v>5193964</v>
      </c>
      <c r="K118" s="41"/>
      <c r="L118" s="11">
        <v>12.83</v>
      </c>
      <c r="M118" s="11">
        <v>2102158</v>
      </c>
      <c r="O118" s="26">
        <v>16.306999999999999</v>
      </c>
      <c r="P118" s="11">
        <v>226138</v>
      </c>
      <c r="Q118" s="44"/>
      <c r="T118" s="3"/>
      <c r="U118" s="11">
        <v>18.893000000000001</v>
      </c>
      <c r="V118" s="11">
        <v>25565</v>
      </c>
      <c r="W118" s="14"/>
      <c r="Z118" s="49"/>
      <c r="AA118" s="11">
        <v>19.742999999999999</v>
      </c>
      <c r="AB118" s="11">
        <v>418357</v>
      </c>
      <c r="AC118" s="3"/>
    </row>
    <row r="119" spans="1:29" ht="15.75" customHeight="1">
      <c r="A119" s="2" t="s">
        <v>171</v>
      </c>
      <c r="B119" s="37" t="s">
        <v>172</v>
      </c>
      <c r="C119" s="11">
        <v>8.1530000000000005</v>
      </c>
      <c r="D119" s="11">
        <v>1066496</v>
      </c>
      <c r="E119" s="30"/>
      <c r="F119" s="11">
        <v>10.76</v>
      </c>
      <c r="G119" s="11">
        <v>383391</v>
      </c>
      <c r="I119" s="26">
        <v>11.42</v>
      </c>
      <c r="J119" s="11">
        <v>4002883</v>
      </c>
      <c r="K119" s="41"/>
      <c r="L119" s="11">
        <v>12.83</v>
      </c>
      <c r="M119" s="11">
        <v>2038313</v>
      </c>
      <c r="O119" s="26">
        <v>16.303000000000001</v>
      </c>
      <c r="P119" s="11">
        <v>197324</v>
      </c>
      <c r="Q119" s="44"/>
      <c r="T119" s="3"/>
      <c r="U119" s="11">
        <v>18.907</v>
      </c>
      <c r="V119" s="11">
        <v>12894</v>
      </c>
      <c r="W119" s="14"/>
      <c r="Z119" s="49"/>
      <c r="AA119" s="11">
        <v>19.777000000000001</v>
      </c>
      <c r="AB119" s="11">
        <v>415578</v>
      </c>
      <c r="AC119" s="3"/>
    </row>
    <row r="120" spans="1:29" ht="15.75" customHeight="1">
      <c r="A120" s="2" t="s">
        <v>173</v>
      </c>
      <c r="B120" s="37" t="s">
        <v>172</v>
      </c>
      <c r="C120" s="11">
        <v>8.1530000000000005</v>
      </c>
      <c r="D120" s="11">
        <v>1156406</v>
      </c>
      <c r="E120" s="30"/>
      <c r="F120" s="11">
        <v>10.77</v>
      </c>
      <c r="G120" s="11">
        <v>377328</v>
      </c>
      <c r="I120" s="26">
        <v>11.43</v>
      </c>
      <c r="J120" s="11">
        <v>4848709</v>
      </c>
      <c r="K120" s="41"/>
      <c r="L120" s="11">
        <v>12.83</v>
      </c>
      <c r="M120" s="11">
        <v>2098007</v>
      </c>
      <c r="O120" s="26">
        <v>16.306999999999999</v>
      </c>
      <c r="P120" s="11">
        <v>220215</v>
      </c>
      <c r="Q120" s="44"/>
      <c r="T120" s="3"/>
      <c r="U120" s="11">
        <v>18.917000000000002</v>
      </c>
      <c r="V120" s="11">
        <v>16790</v>
      </c>
      <c r="W120" s="14"/>
      <c r="Z120" s="49"/>
      <c r="AA120" s="11">
        <v>19.786999999999999</v>
      </c>
      <c r="AB120" s="11">
        <v>508141</v>
      </c>
      <c r="AC120" s="3"/>
    </row>
    <row r="121" spans="1:29" ht="15.75" customHeight="1">
      <c r="A121" s="2" t="s">
        <v>174</v>
      </c>
      <c r="B121" s="37" t="s">
        <v>172</v>
      </c>
      <c r="C121" s="11">
        <v>8.15</v>
      </c>
      <c r="D121" s="11">
        <v>1055851</v>
      </c>
      <c r="E121" s="30"/>
      <c r="F121" s="11">
        <v>10.763</v>
      </c>
      <c r="G121" s="11">
        <v>352726</v>
      </c>
      <c r="I121" s="26">
        <v>11.42</v>
      </c>
      <c r="J121" s="11">
        <v>4228685</v>
      </c>
      <c r="K121" s="41"/>
      <c r="L121" s="11">
        <v>12.827</v>
      </c>
      <c r="M121" s="11">
        <v>2020675</v>
      </c>
      <c r="O121" s="26">
        <v>16.3</v>
      </c>
      <c r="P121" s="11">
        <v>208220</v>
      </c>
      <c r="Q121" s="44"/>
      <c r="T121" s="3"/>
      <c r="U121" s="11">
        <v>18.96</v>
      </c>
      <c r="V121" s="11">
        <v>16972</v>
      </c>
      <c r="W121" s="14"/>
      <c r="Z121" s="49"/>
      <c r="AA121" s="11">
        <v>19.78</v>
      </c>
      <c r="AB121" s="11">
        <v>397266</v>
      </c>
      <c r="AC121" s="3"/>
    </row>
    <row r="122" spans="1:29" ht="15.75" customHeight="1">
      <c r="A122" s="2" t="s">
        <v>175</v>
      </c>
      <c r="B122" s="38" t="s">
        <v>176</v>
      </c>
      <c r="C122" s="11">
        <v>8.15</v>
      </c>
      <c r="D122" s="11">
        <v>1129968</v>
      </c>
      <c r="E122" s="30"/>
      <c r="F122" s="11">
        <v>10.797000000000001</v>
      </c>
      <c r="G122" s="11">
        <v>272811</v>
      </c>
      <c r="I122" s="26">
        <v>11.41</v>
      </c>
      <c r="J122" s="11">
        <v>3440792</v>
      </c>
      <c r="K122" s="41"/>
      <c r="L122" s="11">
        <v>12.83</v>
      </c>
      <c r="M122" s="11">
        <v>2195989</v>
      </c>
      <c r="O122" s="26">
        <v>16.28</v>
      </c>
      <c r="P122" s="11">
        <v>102207</v>
      </c>
      <c r="Q122" s="44"/>
      <c r="T122" s="3"/>
      <c r="U122" s="11">
        <v>18.190000000000001</v>
      </c>
      <c r="V122" s="11">
        <v>12135</v>
      </c>
      <c r="W122" s="14"/>
      <c r="Z122" s="49"/>
      <c r="AA122" s="11">
        <v>19.847000000000001</v>
      </c>
      <c r="AB122" s="11">
        <v>319080</v>
      </c>
      <c r="AC122" s="3"/>
    </row>
    <row r="123" spans="1:29" ht="15.75" customHeight="1">
      <c r="A123" s="2" t="s">
        <v>177</v>
      </c>
      <c r="B123" s="38" t="s">
        <v>176</v>
      </c>
      <c r="C123" s="11">
        <v>8.15</v>
      </c>
      <c r="D123" s="11">
        <v>1024073</v>
      </c>
      <c r="E123" s="30"/>
      <c r="F123" s="11">
        <v>10.797000000000001</v>
      </c>
      <c r="G123" s="11">
        <v>272767</v>
      </c>
      <c r="I123" s="26">
        <v>11.42</v>
      </c>
      <c r="J123" s="11">
        <v>4070815</v>
      </c>
      <c r="K123" s="41"/>
      <c r="L123" s="11">
        <v>12.83</v>
      </c>
      <c r="M123" s="11">
        <v>2395396</v>
      </c>
      <c r="O123" s="26">
        <v>16.277000000000001</v>
      </c>
      <c r="P123" s="11">
        <v>187547</v>
      </c>
      <c r="Q123" s="44"/>
      <c r="T123" s="3"/>
      <c r="U123" s="11">
        <v>19.02</v>
      </c>
      <c r="V123" s="11">
        <v>6285</v>
      </c>
      <c r="W123" s="14"/>
      <c r="Z123" s="49"/>
      <c r="AA123" s="11">
        <v>19.873000000000001</v>
      </c>
      <c r="AB123" s="11">
        <v>415549</v>
      </c>
      <c r="AC123" s="3"/>
    </row>
    <row r="124" spans="1:29" ht="15.75" customHeight="1">
      <c r="A124" s="2" t="s">
        <v>178</v>
      </c>
      <c r="B124" s="38" t="s">
        <v>176</v>
      </c>
      <c r="C124" s="11">
        <v>8.1470000000000002</v>
      </c>
      <c r="D124" s="11">
        <v>1143314</v>
      </c>
      <c r="E124" s="30"/>
      <c r="F124" s="11">
        <v>10.792999999999999</v>
      </c>
      <c r="G124" s="11">
        <v>255554</v>
      </c>
      <c r="I124" s="26">
        <v>11.413</v>
      </c>
      <c r="J124" s="11">
        <v>3983592</v>
      </c>
      <c r="K124" s="41"/>
      <c r="L124" s="11">
        <v>12.827</v>
      </c>
      <c r="M124" s="11">
        <v>2268092</v>
      </c>
      <c r="O124" s="26">
        <v>16.286999999999999</v>
      </c>
      <c r="P124" s="11">
        <v>180054</v>
      </c>
      <c r="Q124" s="44"/>
      <c r="T124" s="3"/>
      <c r="U124" s="11">
        <v>18.983000000000001</v>
      </c>
      <c r="V124" s="11">
        <v>10076</v>
      </c>
      <c r="W124" s="14"/>
      <c r="Z124" s="49"/>
      <c r="AA124" s="11">
        <v>19.902999999999999</v>
      </c>
      <c r="AB124" s="11">
        <v>352258</v>
      </c>
      <c r="AC124" s="3"/>
    </row>
    <row r="125" spans="1:29" ht="15.75" customHeight="1">
      <c r="A125" s="2" t="s">
        <v>179</v>
      </c>
      <c r="B125" s="38" t="s">
        <v>180</v>
      </c>
      <c r="C125" s="11">
        <v>8.15</v>
      </c>
      <c r="D125" s="11">
        <v>1037753</v>
      </c>
      <c r="E125" s="30"/>
      <c r="F125" s="11">
        <v>10.757</v>
      </c>
      <c r="G125" s="11">
        <v>331674</v>
      </c>
      <c r="I125" s="26">
        <v>11.413</v>
      </c>
      <c r="J125" s="11">
        <v>4479891</v>
      </c>
      <c r="K125" s="41"/>
      <c r="L125" s="11">
        <v>12.827</v>
      </c>
      <c r="M125" s="11">
        <v>1997478</v>
      </c>
      <c r="O125" s="26">
        <v>16.266999999999999</v>
      </c>
      <c r="P125" s="11">
        <v>161734</v>
      </c>
      <c r="Q125" s="44"/>
      <c r="T125" s="3"/>
      <c r="U125" s="11">
        <v>18.946999999999999</v>
      </c>
      <c r="V125" s="11">
        <v>5098</v>
      </c>
      <c r="W125" s="14"/>
      <c r="Z125" s="49"/>
      <c r="AA125" s="11">
        <v>19.89</v>
      </c>
      <c r="AB125" s="11">
        <v>517053</v>
      </c>
      <c r="AC125" s="3"/>
    </row>
    <row r="126" spans="1:29" ht="15.75" customHeight="1">
      <c r="A126" s="2" t="s">
        <v>181</v>
      </c>
      <c r="B126" s="38" t="s">
        <v>180</v>
      </c>
      <c r="C126" s="11">
        <v>8.15</v>
      </c>
      <c r="D126" s="11">
        <v>1037018</v>
      </c>
      <c r="E126" s="30"/>
      <c r="F126" s="11">
        <v>10.537000000000001</v>
      </c>
      <c r="G126" s="11">
        <v>406355</v>
      </c>
      <c r="I126" s="26">
        <v>11.417</v>
      </c>
      <c r="J126" s="11">
        <v>4911358</v>
      </c>
      <c r="K126" s="41"/>
      <c r="L126" s="11">
        <v>12.827</v>
      </c>
      <c r="M126" s="11">
        <v>1956087</v>
      </c>
      <c r="O126" s="26">
        <v>16.28</v>
      </c>
      <c r="P126" s="11">
        <v>182181</v>
      </c>
      <c r="Q126" s="44"/>
      <c r="T126" s="3"/>
      <c r="U126" s="11">
        <v>18.899999999999999</v>
      </c>
      <c r="V126" s="11">
        <v>6647</v>
      </c>
      <c r="W126" s="14"/>
      <c r="Z126" s="49"/>
      <c r="AA126" s="11">
        <v>19.882999999999999</v>
      </c>
      <c r="AB126" s="11">
        <v>520011</v>
      </c>
      <c r="AC126" s="3"/>
    </row>
    <row r="127" spans="1:29" ht="15.75" customHeight="1">
      <c r="A127" s="2" t="s">
        <v>182</v>
      </c>
      <c r="B127" s="38" t="s">
        <v>180</v>
      </c>
      <c r="C127" s="11">
        <v>8.15</v>
      </c>
      <c r="D127" s="11">
        <v>992905</v>
      </c>
      <c r="E127" s="30"/>
      <c r="F127" s="11">
        <v>10.733000000000001</v>
      </c>
      <c r="G127" s="11">
        <v>408519</v>
      </c>
      <c r="I127" s="26">
        <v>11.417</v>
      </c>
      <c r="J127" s="11">
        <v>4868964</v>
      </c>
      <c r="K127" s="41"/>
      <c r="L127" s="11">
        <v>12.827</v>
      </c>
      <c r="M127" s="11">
        <v>2021909</v>
      </c>
      <c r="O127" s="26">
        <v>16.27</v>
      </c>
      <c r="P127" s="11">
        <v>240166</v>
      </c>
      <c r="Q127" s="44"/>
      <c r="T127" s="3"/>
      <c r="U127" s="11">
        <v>18.920000000000002</v>
      </c>
      <c r="V127" s="11">
        <v>259</v>
      </c>
      <c r="W127" s="14"/>
      <c r="Z127" s="49"/>
      <c r="AA127" s="11">
        <v>19.87</v>
      </c>
      <c r="AB127" s="11">
        <v>417323</v>
      </c>
      <c r="AC127" s="3"/>
    </row>
    <row r="128" spans="1:29" ht="15.75" customHeight="1">
      <c r="A128" s="2" t="s">
        <v>183</v>
      </c>
      <c r="B128" s="38" t="s">
        <v>184</v>
      </c>
      <c r="C128" s="11">
        <v>8.1470000000000002</v>
      </c>
      <c r="D128" s="11">
        <v>1039223</v>
      </c>
      <c r="E128" s="30"/>
      <c r="F128" s="11">
        <v>10.79</v>
      </c>
      <c r="G128" s="11">
        <v>353111</v>
      </c>
      <c r="I128" s="26">
        <v>11.4</v>
      </c>
      <c r="J128" s="11">
        <v>3084348</v>
      </c>
      <c r="K128" s="41"/>
      <c r="L128" s="11">
        <v>12.827</v>
      </c>
      <c r="M128" s="11">
        <v>2332864</v>
      </c>
      <c r="O128" s="26">
        <v>16.273</v>
      </c>
      <c r="P128" s="11">
        <v>218411</v>
      </c>
      <c r="Q128" s="44"/>
      <c r="T128" s="3"/>
      <c r="U128" s="11">
        <v>18.957000000000001</v>
      </c>
      <c r="V128" s="11">
        <v>54</v>
      </c>
      <c r="W128" s="14"/>
      <c r="Z128" s="49"/>
      <c r="AA128" s="11">
        <v>19.847000000000001</v>
      </c>
      <c r="AB128" s="11">
        <v>491609</v>
      </c>
      <c r="AC128" s="3"/>
    </row>
    <row r="129" spans="1:29" ht="15.75" customHeight="1">
      <c r="A129" s="2" t="s">
        <v>185</v>
      </c>
      <c r="B129" s="38" t="s">
        <v>184</v>
      </c>
      <c r="C129" s="11">
        <v>8.15</v>
      </c>
      <c r="D129" s="11">
        <v>1205370</v>
      </c>
      <c r="E129" s="30"/>
      <c r="F129" s="11">
        <v>10.79</v>
      </c>
      <c r="G129" s="11">
        <v>283378</v>
      </c>
      <c r="I129" s="26">
        <v>11.403</v>
      </c>
      <c r="J129" s="11">
        <v>3098113</v>
      </c>
      <c r="K129" s="41"/>
      <c r="L129" s="11">
        <v>12.83</v>
      </c>
      <c r="M129" s="11">
        <v>2353008</v>
      </c>
      <c r="O129" s="26">
        <v>16.266999999999999</v>
      </c>
      <c r="P129" s="11">
        <v>191425</v>
      </c>
      <c r="Q129" s="44"/>
      <c r="T129" s="3"/>
      <c r="U129" s="11">
        <v>18.940000000000001</v>
      </c>
      <c r="V129" s="11">
        <v>8445</v>
      </c>
      <c r="W129" s="14"/>
      <c r="Z129" s="49"/>
      <c r="AA129" s="11">
        <v>19.82</v>
      </c>
      <c r="AB129" s="11">
        <v>596534</v>
      </c>
      <c r="AC129" s="3"/>
    </row>
    <row r="130" spans="1:29" ht="15.75" customHeight="1">
      <c r="A130" s="4" t="s">
        <v>186</v>
      </c>
      <c r="B130" s="38" t="s">
        <v>184</v>
      </c>
      <c r="C130" s="11">
        <v>8.1470000000000002</v>
      </c>
      <c r="D130" s="11">
        <v>1158277</v>
      </c>
      <c r="E130" s="31"/>
      <c r="F130" s="11">
        <v>10.79</v>
      </c>
      <c r="G130" s="11">
        <v>288683</v>
      </c>
      <c r="H130" s="42"/>
      <c r="I130" s="26">
        <v>11.4</v>
      </c>
      <c r="J130" s="11">
        <v>3156673</v>
      </c>
      <c r="K130" s="42"/>
      <c r="L130" s="11">
        <v>12.827</v>
      </c>
      <c r="M130" s="11">
        <v>2417065</v>
      </c>
      <c r="N130" s="48"/>
      <c r="O130" s="27">
        <v>16.28</v>
      </c>
      <c r="P130" s="24">
        <v>158418</v>
      </c>
      <c r="Q130" s="44"/>
      <c r="R130" s="7"/>
      <c r="S130" s="7"/>
      <c r="T130" s="5"/>
      <c r="U130" s="11">
        <v>18.977</v>
      </c>
      <c r="V130" s="11">
        <v>2213</v>
      </c>
      <c r="W130" s="33"/>
      <c r="Z130" s="50"/>
      <c r="AA130" s="11">
        <v>19.873000000000001</v>
      </c>
      <c r="AB130" s="11">
        <v>743798</v>
      </c>
      <c r="AC130" s="5"/>
    </row>
    <row r="131" spans="1:29" ht="15.75" customHeight="1">
      <c r="C131" s="22"/>
      <c r="D131" s="23"/>
      <c r="F131" s="22"/>
      <c r="G131" s="23"/>
      <c r="I131" s="22"/>
      <c r="J131" s="23"/>
      <c r="L131" s="22"/>
      <c r="M131" s="23"/>
      <c r="Q131" s="3"/>
      <c r="U131" s="22"/>
      <c r="V131" s="23"/>
      <c r="X131" s="22"/>
      <c r="Y131" s="23"/>
      <c r="Z131" s="3"/>
      <c r="AA131" s="23"/>
      <c r="AC131" s="3"/>
    </row>
    <row r="132" spans="1:29" ht="15.75" customHeight="1">
      <c r="A132" s="8" t="s">
        <v>187</v>
      </c>
      <c r="B132" s="37" t="s">
        <v>20</v>
      </c>
      <c r="C132" s="11">
        <v>8.1769999999999996</v>
      </c>
      <c r="D132" s="11">
        <v>1730314</v>
      </c>
      <c r="E132" s="29"/>
      <c r="F132" s="11">
        <v>10.843</v>
      </c>
      <c r="G132" s="11">
        <v>690722</v>
      </c>
      <c r="H132" s="40"/>
      <c r="I132" s="26">
        <v>11.503</v>
      </c>
      <c r="J132" s="11">
        <v>6242931</v>
      </c>
      <c r="K132" s="40"/>
      <c r="L132" s="11">
        <v>12.867000000000001</v>
      </c>
      <c r="M132" s="11">
        <v>3521553</v>
      </c>
      <c r="N132" s="46"/>
      <c r="O132" s="35">
        <v>16.39</v>
      </c>
      <c r="P132" s="28">
        <v>966148</v>
      </c>
      <c r="Q132" s="44"/>
      <c r="R132" s="9"/>
      <c r="S132" s="9"/>
      <c r="T132" s="10"/>
      <c r="U132" s="11">
        <v>18.853000000000002</v>
      </c>
      <c r="V132" s="11">
        <v>34197</v>
      </c>
      <c r="W132" s="34"/>
      <c r="X132" s="11">
        <v>19.922999999999998</v>
      </c>
      <c r="Y132" s="11">
        <v>770058</v>
      </c>
      <c r="Z132" s="47"/>
      <c r="AB132" s="9"/>
      <c r="AC132" s="10"/>
    </row>
    <row r="133" spans="1:29" ht="15.75" customHeight="1">
      <c r="A133" s="2" t="s">
        <v>188</v>
      </c>
      <c r="B133" s="37" t="s">
        <v>20</v>
      </c>
      <c r="C133" s="11">
        <v>8.1869999999999994</v>
      </c>
      <c r="D133" s="11">
        <v>1073065</v>
      </c>
      <c r="E133" s="30"/>
      <c r="F133" s="11">
        <v>10.833</v>
      </c>
      <c r="G133" s="11">
        <v>679636</v>
      </c>
      <c r="I133" s="26">
        <v>11.493</v>
      </c>
      <c r="J133" s="11">
        <v>5936057</v>
      </c>
      <c r="K133" s="41"/>
      <c r="L133" s="11">
        <v>12.86</v>
      </c>
      <c r="M133" s="11">
        <v>3074312</v>
      </c>
      <c r="O133" s="26">
        <v>16.387</v>
      </c>
      <c r="P133" s="11">
        <v>794650</v>
      </c>
      <c r="Q133" s="44"/>
      <c r="T133" s="3"/>
      <c r="U133" s="11">
        <v>17.64</v>
      </c>
      <c r="V133" s="11">
        <v>252905</v>
      </c>
      <c r="W133" s="14"/>
      <c r="X133" s="11">
        <v>19.36</v>
      </c>
      <c r="Y133" s="11">
        <v>1142910</v>
      </c>
      <c r="Z133" s="49"/>
      <c r="AC133" s="3"/>
    </row>
    <row r="134" spans="1:29" ht="15.75" customHeight="1">
      <c r="A134" s="2" t="s">
        <v>189</v>
      </c>
      <c r="B134" s="37" t="s">
        <v>20</v>
      </c>
      <c r="C134" s="11">
        <v>8.1869999999999994</v>
      </c>
      <c r="D134" s="11">
        <v>911171</v>
      </c>
      <c r="E134" s="30"/>
      <c r="F134" s="11">
        <v>10.83</v>
      </c>
      <c r="G134" s="11">
        <v>603332</v>
      </c>
      <c r="I134" s="26">
        <v>11.483000000000001</v>
      </c>
      <c r="J134" s="11">
        <v>5495731</v>
      </c>
      <c r="K134" s="41"/>
      <c r="L134" s="11">
        <v>12.856999999999999</v>
      </c>
      <c r="M134" s="11">
        <v>2733238</v>
      </c>
      <c r="O134" s="26">
        <v>16.376999999999999</v>
      </c>
      <c r="P134" s="11">
        <v>732592</v>
      </c>
      <c r="Q134" s="44"/>
      <c r="T134" s="3"/>
      <c r="U134" s="11">
        <v>18.707000000000001</v>
      </c>
      <c r="V134" s="11">
        <v>209996</v>
      </c>
      <c r="W134" s="14"/>
      <c r="X134" s="11">
        <v>19.356999999999999</v>
      </c>
      <c r="Y134" s="11">
        <v>1258585</v>
      </c>
      <c r="Z134" s="49"/>
      <c r="AC134" s="3"/>
    </row>
    <row r="135" spans="1:29" ht="15.75" customHeight="1">
      <c r="A135" s="2" t="s">
        <v>190</v>
      </c>
      <c r="B135" s="37" t="s">
        <v>24</v>
      </c>
      <c r="C135" s="11">
        <v>8.173</v>
      </c>
      <c r="D135" s="11">
        <v>1769470</v>
      </c>
      <c r="E135" s="30"/>
      <c r="F135" s="11">
        <v>10.83</v>
      </c>
      <c r="G135" s="11">
        <v>679448</v>
      </c>
      <c r="I135" s="26">
        <v>11.483000000000001</v>
      </c>
      <c r="J135" s="11">
        <v>5246524</v>
      </c>
      <c r="K135" s="41"/>
      <c r="L135" s="11">
        <v>12.856999999999999</v>
      </c>
      <c r="M135" s="11">
        <v>3089422</v>
      </c>
      <c r="O135" s="26">
        <v>16.37</v>
      </c>
      <c r="P135" s="11">
        <v>987094</v>
      </c>
      <c r="Q135" s="44"/>
      <c r="T135" s="3"/>
      <c r="U135" s="11">
        <v>18.626999999999999</v>
      </c>
      <c r="V135" s="11">
        <v>245845</v>
      </c>
      <c r="W135" s="14"/>
      <c r="X135" s="11">
        <v>19.36</v>
      </c>
      <c r="Y135" s="11">
        <v>1576272</v>
      </c>
      <c r="Z135" s="49"/>
      <c r="AC135" s="3"/>
    </row>
    <row r="136" spans="1:29" ht="15.75" customHeight="1">
      <c r="A136" s="2" t="s">
        <v>191</v>
      </c>
      <c r="B136" s="37" t="s">
        <v>24</v>
      </c>
      <c r="C136" s="11">
        <v>8.1769999999999996</v>
      </c>
      <c r="D136" s="11">
        <v>1492293</v>
      </c>
      <c r="E136" s="30"/>
      <c r="F136" s="11">
        <v>10.83</v>
      </c>
      <c r="G136" s="11">
        <v>840348</v>
      </c>
      <c r="I136" s="26">
        <v>11.49</v>
      </c>
      <c r="J136" s="11">
        <v>5942720</v>
      </c>
      <c r="K136" s="41"/>
      <c r="L136" s="11">
        <v>12.86</v>
      </c>
      <c r="M136" s="11">
        <v>3553214</v>
      </c>
      <c r="O136" s="26">
        <v>16.367000000000001</v>
      </c>
      <c r="P136" s="11">
        <v>1142786</v>
      </c>
      <c r="Q136" s="44"/>
      <c r="T136" s="3"/>
      <c r="U136" s="11">
        <v>18.582999999999998</v>
      </c>
      <c r="V136" s="11">
        <v>418502</v>
      </c>
      <c r="W136" s="14"/>
      <c r="X136" s="11">
        <v>19.36</v>
      </c>
      <c r="Y136" s="11">
        <v>1414079</v>
      </c>
      <c r="Z136" s="49"/>
      <c r="AC136" s="3"/>
    </row>
    <row r="137" spans="1:29" ht="15.75" customHeight="1">
      <c r="A137" s="2" t="s">
        <v>192</v>
      </c>
      <c r="B137" s="37" t="s">
        <v>24</v>
      </c>
      <c r="C137" s="11">
        <v>8.173</v>
      </c>
      <c r="D137" s="11">
        <v>1471737</v>
      </c>
      <c r="E137" s="30"/>
      <c r="F137" s="11">
        <v>10.813000000000001</v>
      </c>
      <c r="G137" s="11">
        <v>836503</v>
      </c>
      <c r="I137" s="26">
        <v>11.477</v>
      </c>
      <c r="J137" s="11">
        <v>6222248</v>
      </c>
      <c r="K137" s="41"/>
      <c r="L137" s="11">
        <v>12.853</v>
      </c>
      <c r="M137" s="11">
        <v>3389337</v>
      </c>
      <c r="O137" s="26">
        <v>16.353000000000002</v>
      </c>
      <c r="P137" s="11">
        <v>1156416</v>
      </c>
      <c r="Q137" s="44"/>
      <c r="T137" s="3"/>
      <c r="U137" s="11">
        <v>18.577000000000002</v>
      </c>
      <c r="V137" s="11">
        <v>468017</v>
      </c>
      <c r="W137" s="14"/>
      <c r="X137" s="11">
        <v>19.367000000000001</v>
      </c>
      <c r="Y137" s="11">
        <v>1157167</v>
      </c>
      <c r="Z137" s="49"/>
      <c r="AC137" s="3"/>
    </row>
    <row r="138" spans="1:29" ht="15.75" customHeight="1">
      <c r="A138" s="2" t="s">
        <v>193</v>
      </c>
      <c r="B138" s="37" t="s">
        <v>28</v>
      </c>
      <c r="C138" s="11">
        <v>8.1669999999999998</v>
      </c>
      <c r="D138" s="11">
        <v>1588390</v>
      </c>
      <c r="E138" s="30"/>
      <c r="F138" s="11">
        <v>10.537000000000001</v>
      </c>
      <c r="G138" s="11">
        <v>677821</v>
      </c>
      <c r="I138" s="26">
        <v>11.747</v>
      </c>
      <c r="J138" s="11">
        <v>8644798</v>
      </c>
      <c r="K138" s="41"/>
      <c r="L138" s="11">
        <v>12.843</v>
      </c>
      <c r="M138" s="11">
        <v>2591007</v>
      </c>
      <c r="O138" s="26">
        <v>16.337</v>
      </c>
      <c r="P138" s="11">
        <v>1045665</v>
      </c>
      <c r="Q138" s="44"/>
      <c r="T138" s="3"/>
      <c r="U138" s="11">
        <v>18.510000000000002</v>
      </c>
      <c r="V138" s="11">
        <v>530379</v>
      </c>
      <c r="W138" s="14"/>
      <c r="X138" s="11">
        <v>19.363</v>
      </c>
      <c r="Y138" s="11">
        <v>1217060</v>
      </c>
      <c r="Z138" s="49"/>
      <c r="AC138" s="3"/>
    </row>
    <row r="139" spans="1:29" ht="15.75" customHeight="1">
      <c r="A139" s="2" t="s">
        <v>194</v>
      </c>
      <c r="B139" s="37" t="s">
        <v>28</v>
      </c>
      <c r="C139" s="11">
        <v>8.18</v>
      </c>
      <c r="D139" s="11">
        <v>1020559</v>
      </c>
      <c r="E139" s="30"/>
      <c r="F139" s="11">
        <v>10.532999999999999</v>
      </c>
      <c r="G139" s="11">
        <v>688249</v>
      </c>
      <c r="I139" s="26">
        <v>11.743</v>
      </c>
      <c r="J139" s="11">
        <v>8965156</v>
      </c>
      <c r="K139" s="41"/>
      <c r="L139" s="11">
        <v>12.843</v>
      </c>
      <c r="M139" s="11">
        <v>2849073</v>
      </c>
      <c r="O139" s="26">
        <v>16.32</v>
      </c>
      <c r="P139" s="11">
        <v>1095165</v>
      </c>
      <c r="Q139" s="44"/>
      <c r="T139" s="3"/>
      <c r="U139" s="11">
        <v>18.823</v>
      </c>
      <c r="V139" s="11">
        <v>256977</v>
      </c>
      <c r="W139" s="14"/>
      <c r="X139" s="11">
        <v>19.37</v>
      </c>
      <c r="Y139" s="11">
        <v>1252221</v>
      </c>
      <c r="Z139" s="49"/>
      <c r="AC139" s="3"/>
    </row>
    <row r="140" spans="1:29" ht="15.75" customHeight="1">
      <c r="A140" s="2" t="s">
        <v>195</v>
      </c>
      <c r="B140" s="37" t="s">
        <v>28</v>
      </c>
      <c r="C140" s="11">
        <v>8.1829999999999998</v>
      </c>
      <c r="D140" s="11">
        <v>1249297</v>
      </c>
      <c r="E140" s="30"/>
      <c r="F140" s="11">
        <v>10.537000000000001</v>
      </c>
      <c r="G140" s="11">
        <v>841748</v>
      </c>
      <c r="I140" s="26">
        <v>11.753</v>
      </c>
      <c r="J140" s="11">
        <v>9973089</v>
      </c>
      <c r="K140" s="41"/>
      <c r="L140" s="11">
        <v>12.843</v>
      </c>
      <c r="M140" s="11">
        <v>3546886</v>
      </c>
      <c r="O140" s="26">
        <v>16.306999999999999</v>
      </c>
      <c r="P140" s="11">
        <v>1468658</v>
      </c>
      <c r="Q140" s="44"/>
      <c r="T140" s="3"/>
      <c r="U140" s="11">
        <v>18.829999999999998</v>
      </c>
      <c r="V140" s="11">
        <v>221086</v>
      </c>
      <c r="W140" s="14"/>
      <c r="X140" s="11">
        <v>19.363</v>
      </c>
      <c r="Y140" s="11">
        <v>1354680</v>
      </c>
      <c r="Z140" s="49"/>
      <c r="AC140" s="3"/>
    </row>
    <row r="141" spans="1:29" ht="15.75" customHeight="1">
      <c r="A141" s="2" t="s">
        <v>196</v>
      </c>
      <c r="B141" s="37" t="s">
        <v>32</v>
      </c>
      <c r="C141" s="11">
        <v>8.1630000000000003</v>
      </c>
      <c r="D141" s="11">
        <v>1591767</v>
      </c>
      <c r="E141" s="30"/>
      <c r="F141" s="11">
        <v>10.78</v>
      </c>
      <c r="G141" s="11">
        <v>434668</v>
      </c>
      <c r="I141" s="26">
        <v>11.446999999999999</v>
      </c>
      <c r="J141" s="11">
        <v>6962910</v>
      </c>
      <c r="K141" s="41"/>
      <c r="L141" s="11">
        <v>12.837</v>
      </c>
      <c r="M141" s="11">
        <v>2485644</v>
      </c>
      <c r="O141" s="26">
        <v>16.3</v>
      </c>
      <c r="P141" s="11">
        <v>1413874</v>
      </c>
      <c r="Q141" s="44"/>
      <c r="T141" s="3"/>
      <c r="U141" s="11">
        <v>18.843</v>
      </c>
      <c r="V141" s="11">
        <v>197418</v>
      </c>
      <c r="W141" s="14"/>
      <c r="X141" s="11">
        <v>19.36</v>
      </c>
      <c r="Y141" s="11">
        <v>3576975</v>
      </c>
      <c r="Z141" s="49"/>
      <c r="AC141" s="3"/>
    </row>
    <row r="142" spans="1:29" ht="15.75" customHeight="1">
      <c r="A142" s="2" t="s">
        <v>197</v>
      </c>
      <c r="B142" s="37" t="s">
        <v>32</v>
      </c>
      <c r="C142" s="11">
        <v>8.1829999999999998</v>
      </c>
      <c r="D142" s="11">
        <v>1108657</v>
      </c>
      <c r="E142" s="30"/>
      <c r="F142" s="11">
        <v>10.537000000000001</v>
      </c>
      <c r="G142" s="11">
        <v>778077</v>
      </c>
      <c r="I142" s="26">
        <v>11.75</v>
      </c>
      <c r="J142" s="11">
        <v>10085817</v>
      </c>
      <c r="K142" s="41"/>
      <c r="L142" s="11">
        <v>12.84</v>
      </c>
      <c r="M142" s="11">
        <v>3578320</v>
      </c>
      <c r="O142" s="26">
        <v>16.283000000000001</v>
      </c>
      <c r="P142" s="11">
        <v>1262878</v>
      </c>
      <c r="Q142" s="44"/>
      <c r="T142" s="3"/>
      <c r="U142" s="11">
        <v>18.809999999999999</v>
      </c>
      <c r="V142" s="11">
        <v>13622</v>
      </c>
      <c r="W142" s="14"/>
      <c r="X142" s="11">
        <v>19.367000000000001</v>
      </c>
      <c r="Y142" s="11">
        <v>1588123</v>
      </c>
      <c r="Z142" s="49"/>
      <c r="AC142" s="3"/>
    </row>
    <row r="143" spans="1:29" ht="15.75" customHeight="1">
      <c r="A143" s="2" t="s">
        <v>198</v>
      </c>
      <c r="B143" s="37" t="s">
        <v>32</v>
      </c>
      <c r="C143" s="11">
        <v>8.1869999999999994</v>
      </c>
      <c r="D143" s="11">
        <v>1194285</v>
      </c>
      <c r="E143" s="30"/>
      <c r="F143" s="11">
        <v>10.776999999999999</v>
      </c>
      <c r="G143" s="11">
        <v>634002</v>
      </c>
      <c r="I143" s="26">
        <v>11.457000000000001</v>
      </c>
      <c r="J143" s="11">
        <v>8835393</v>
      </c>
      <c r="K143" s="41"/>
      <c r="L143" s="11">
        <v>12.84</v>
      </c>
      <c r="M143" s="11">
        <v>3163621</v>
      </c>
      <c r="O143" s="26">
        <v>16.283000000000001</v>
      </c>
      <c r="P143" s="11">
        <v>1717486</v>
      </c>
      <c r="Q143" s="44"/>
      <c r="T143" s="3"/>
      <c r="U143" s="11">
        <v>18.832999999999998</v>
      </c>
      <c r="V143" s="11">
        <v>133677</v>
      </c>
      <c r="W143" s="14"/>
      <c r="X143" s="11">
        <v>19.36</v>
      </c>
      <c r="Y143" s="11">
        <v>1843020</v>
      </c>
      <c r="Z143" s="49"/>
      <c r="AC143" s="3"/>
    </row>
    <row r="144" spans="1:29" ht="15.75" customHeight="1">
      <c r="A144" s="2" t="s">
        <v>199</v>
      </c>
      <c r="B144" s="37" t="s">
        <v>36</v>
      </c>
      <c r="C144" s="11">
        <v>8.1630000000000003</v>
      </c>
      <c r="D144" s="11">
        <v>1721328</v>
      </c>
      <c r="E144" s="30"/>
      <c r="F144" s="11">
        <v>10.787000000000001</v>
      </c>
      <c r="G144" s="11">
        <v>466920</v>
      </c>
      <c r="I144" s="26">
        <v>11.44</v>
      </c>
      <c r="J144" s="11">
        <v>5840294</v>
      </c>
      <c r="K144" s="41"/>
      <c r="L144" s="11">
        <v>12.837</v>
      </c>
      <c r="M144" s="11">
        <v>2660073</v>
      </c>
      <c r="O144" s="26">
        <v>16.273</v>
      </c>
      <c r="P144" s="11">
        <v>1367542</v>
      </c>
      <c r="Q144" s="44"/>
      <c r="T144" s="3"/>
      <c r="U144" s="11">
        <v>18.843</v>
      </c>
      <c r="V144" s="11">
        <v>104754</v>
      </c>
      <c r="W144" s="14"/>
      <c r="X144" s="11">
        <v>19.367000000000001</v>
      </c>
      <c r="Y144" s="11">
        <v>1363907</v>
      </c>
      <c r="Z144" s="49"/>
      <c r="AC144" s="3"/>
    </row>
    <row r="145" spans="1:29" ht="15.75" customHeight="1">
      <c r="A145" s="2" t="s">
        <v>200</v>
      </c>
      <c r="B145" s="37" t="s">
        <v>36</v>
      </c>
      <c r="C145" s="11">
        <v>8.17</v>
      </c>
      <c r="D145" s="11">
        <v>985519</v>
      </c>
      <c r="E145" s="30"/>
      <c r="F145" s="11">
        <v>10.787000000000001</v>
      </c>
      <c r="G145" s="11">
        <v>479867</v>
      </c>
      <c r="I145" s="26">
        <v>11.44</v>
      </c>
      <c r="J145" s="11">
        <v>6253947</v>
      </c>
      <c r="K145" s="41"/>
      <c r="L145" s="11">
        <v>12.837</v>
      </c>
      <c r="M145" s="11">
        <v>2398678</v>
      </c>
      <c r="O145" s="26">
        <v>16.277000000000001</v>
      </c>
      <c r="P145" s="11">
        <v>1269332</v>
      </c>
      <c r="Q145" s="44"/>
      <c r="T145" s="3"/>
      <c r="U145" s="11">
        <v>18.850000000000001</v>
      </c>
      <c r="V145" s="11">
        <v>105662</v>
      </c>
      <c r="W145" s="14"/>
      <c r="X145" s="11">
        <v>19.36</v>
      </c>
      <c r="Y145" s="11">
        <v>4702472</v>
      </c>
      <c r="Z145" s="49"/>
      <c r="AC145" s="3"/>
    </row>
    <row r="146" spans="1:29" ht="15.75" customHeight="1">
      <c r="A146" s="2" t="s">
        <v>201</v>
      </c>
      <c r="B146" s="37" t="s">
        <v>36</v>
      </c>
      <c r="C146" s="11">
        <v>8.173</v>
      </c>
      <c r="D146" s="11">
        <v>825984</v>
      </c>
      <c r="E146" s="30"/>
      <c r="F146" s="11">
        <v>10.78</v>
      </c>
      <c r="G146" s="11">
        <v>451721</v>
      </c>
      <c r="I146" s="26">
        <v>11.436999999999999</v>
      </c>
      <c r="J146" s="11">
        <v>6473290</v>
      </c>
      <c r="K146" s="41"/>
      <c r="L146" s="11">
        <v>12.833</v>
      </c>
      <c r="M146" s="11">
        <v>2300305</v>
      </c>
      <c r="O146" s="26">
        <v>16.273</v>
      </c>
      <c r="P146" s="11">
        <v>1242339</v>
      </c>
      <c r="Q146" s="44"/>
      <c r="T146" s="3"/>
      <c r="U146" s="11">
        <v>18.843</v>
      </c>
      <c r="V146" s="11">
        <v>100233</v>
      </c>
      <c r="W146" s="14"/>
      <c r="X146" s="11">
        <v>19.367000000000001</v>
      </c>
      <c r="Y146" s="11">
        <v>2866372</v>
      </c>
      <c r="Z146" s="49"/>
      <c r="AC146" s="3"/>
    </row>
    <row r="147" spans="1:29" ht="15.75" customHeight="1">
      <c r="A147" s="2" t="s">
        <v>202</v>
      </c>
      <c r="B147" s="37" t="s">
        <v>40</v>
      </c>
      <c r="C147" s="11">
        <v>8.1630000000000003</v>
      </c>
      <c r="D147" s="11">
        <v>2115818</v>
      </c>
      <c r="E147" s="30"/>
      <c r="F147" s="11">
        <v>10.803000000000001</v>
      </c>
      <c r="G147" s="11">
        <v>477512</v>
      </c>
      <c r="I147" s="26">
        <v>11.45</v>
      </c>
      <c r="J147" s="11">
        <v>5651524</v>
      </c>
      <c r="K147" s="41"/>
      <c r="L147" s="11">
        <v>12.837</v>
      </c>
      <c r="M147" s="11">
        <v>2955735</v>
      </c>
      <c r="O147" s="26">
        <v>16.273</v>
      </c>
      <c r="P147" s="11">
        <v>1235789</v>
      </c>
      <c r="Q147" s="44"/>
      <c r="T147" s="3"/>
      <c r="U147" s="11">
        <v>18.907</v>
      </c>
      <c r="V147" s="11">
        <v>176943</v>
      </c>
      <c r="W147" s="14"/>
      <c r="X147" s="11">
        <v>19.367000000000001</v>
      </c>
      <c r="Y147" s="11">
        <v>2335283</v>
      </c>
      <c r="Z147" s="49"/>
      <c r="AC147" s="3"/>
    </row>
    <row r="148" spans="1:29" ht="15.75" customHeight="1">
      <c r="A148" s="2" t="s">
        <v>203</v>
      </c>
      <c r="B148" s="37" t="s">
        <v>40</v>
      </c>
      <c r="C148" s="11">
        <v>8.17</v>
      </c>
      <c r="D148" s="11">
        <v>1554920</v>
      </c>
      <c r="E148" s="30"/>
      <c r="F148" s="11">
        <v>10.803000000000001</v>
      </c>
      <c r="G148" s="11">
        <v>628956</v>
      </c>
      <c r="I148" s="26">
        <v>11.462999999999999</v>
      </c>
      <c r="J148" s="11">
        <v>6730204</v>
      </c>
      <c r="K148" s="41"/>
      <c r="L148" s="11">
        <v>12.843</v>
      </c>
      <c r="M148" s="11">
        <v>3416764</v>
      </c>
      <c r="O148" s="26">
        <v>16.273</v>
      </c>
      <c r="P148" s="11">
        <v>1658085</v>
      </c>
      <c r="Q148" s="44"/>
      <c r="T148" s="3"/>
      <c r="U148" s="11">
        <v>18.373000000000001</v>
      </c>
      <c r="V148" s="11">
        <v>276268</v>
      </c>
      <c r="W148" s="14"/>
      <c r="X148" s="11">
        <v>19.37</v>
      </c>
      <c r="Y148" s="11">
        <v>1862179</v>
      </c>
      <c r="Z148" s="49"/>
      <c r="AC148" s="3"/>
    </row>
    <row r="149" spans="1:29" ht="15.75" customHeight="1">
      <c r="A149" s="2" t="s">
        <v>204</v>
      </c>
      <c r="B149" s="37" t="s">
        <v>40</v>
      </c>
      <c r="C149" s="11">
        <v>8.1669999999999998</v>
      </c>
      <c r="D149" s="11">
        <v>2489162</v>
      </c>
      <c r="E149" s="30"/>
      <c r="F149" s="11">
        <v>10.807</v>
      </c>
      <c r="G149" s="11">
        <v>571033</v>
      </c>
      <c r="I149" s="26">
        <v>11.467000000000001</v>
      </c>
      <c r="J149" s="11">
        <v>7207987</v>
      </c>
      <c r="K149" s="41"/>
      <c r="L149" s="11">
        <v>12.84</v>
      </c>
      <c r="M149" s="11">
        <v>3308556</v>
      </c>
      <c r="O149" s="26">
        <v>16.27</v>
      </c>
      <c r="P149" s="11">
        <v>1801197</v>
      </c>
      <c r="Q149" s="44"/>
      <c r="T149" s="3"/>
      <c r="U149" s="11">
        <v>18.902999999999999</v>
      </c>
      <c r="V149" s="11">
        <v>268659</v>
      </c>
      <c r="W149" s="14"/>
      <c r="X149" s="11">
        <v>19.363</v>
      </c>
      <c r="Y149" s="11">
        <v>1957171</v>
      </c>
      <c r="Z149" s="49"/>
      <c r="AC149" s="3"/>
    </row>
    <row r="150" spans="1:29" ht="15.75" customHeight="1">
      <c r="A150" s="2" t="s">
        <v>205</v>
      </c>
      <c r="B150" s="37" t="s">
        <v>44</v>
      </c>
      <c r="C150" s="11">
        <v>8.16</v>
      </c>
      <c r="D150" s="11">
        <v>1376814</v>
      </c>
      <c r="E150" s="30"/>
      <c r="F150" s="11">
        <v>10.797000000000001</v>
      </c>
      <c r="G150" s="11">
        <v>255353</v>
      </c>
      <c r="I150" s="26">
        <v>11.43</v>
      </c>
      <c r="J150" s="11">
        <v>3939755</v>
      </c>
      <c r="K150" s="41"/>
      <c r="L150" s="11">
        <v>12.83</v>
      </c>
      <c r="M150" s="11">
        <v>1573046</v>
      </c>
      <c r="O150" s="26">
        <v>16.277000000000001</v>
      </c>
      <c r="P150" s="11">
        <v>1587298</v>
      </c>
      <c r="Q150" s="44"/>
      <c r="T150" s="3"/>
      <c r="U150" s="11">
        <v>18.913</v>
      </c>
      <c r="V150" s="11">
        <v>121419</v>
      </c>
      <c r="W150" s="14"/>
      <c r="X150" s="11">
        <v>19.363</v>
      </c>
      <c r="Y150" s="11">
        <v>2180978</v>
      </c>
      <c r="Z150" s="49"/>
      <c r="AC150" s="3"/>
    </row>
    <row r="151" spans="1:29" ht="15.75" customHeight="1">
      <c r="A151" s="2" t="s">
        <v>206</v>
      </c>
      <c r="B151" s="37" t="s">
        <v>44</v>
      </c>
      <c r="C151" s="11">
        <v>8.17</v>
      </c>
      <c r="D151" s="11">
        <v>1118704</v>
      </c>
      <c r="E151" s="30"/>
      <c r="F151" s="11">
        <v>10.8</v>
      </c>
      <c r="G151" s="11">
        <v>377303</v>
      </c>
      <c r="I151" s="26">
        <v>11.433</v>
      </c>
      <c r="J151" s="11">
        <v>4578590</v>
      </c>
      <c r="K151" s="41"/>
      <c r="L151" s="11">
        <v>12.83</v>
      </c>
      <c r="M151" s="11">
        <v>2182483</v>
      </c>
      <c r="O151" s="26">
        <v>16.27</v>
      </c>
      <c r="P151" s="11">
        <v>1084971</v>
      </c>
      <c r="Q151" s="44"/>
      <c r="T151" s="3"/>
      <c r="U151" s="11">
        <v>18.402999999999999</v>
      </c>
      <c r="V151" s="11">
        <v>141009</v>
      </c>
      <c r="W151" s="14"/>
      <c r="X151" s="11">
        <v>19.367000000000001</v>
      </c>
      <c r="Y151" s="11">
        <v>1799213</v>
      </c>
      <c r="Z151" s="49"/>
      <c r="AC151" s="3"/>
    </row>
    <row r="152" spans="1:29" ht="15.75" customHeight="1">
      <c r="A152" s="2" t="s">
        <v>207</v>
      </c>
      <c r="B152" s="37" t="s">
        <v>44</v>
      </c>
      <c r="C152" s="11">
        <v>8.18</v>
      </c>
      <c r="D152" s="11">
        <v>1404642</v>
      </c>
      <c r="E152" s="30"/>
      <c r="F152" s="11">
        <v>10.8</v>
      </c>
      <c r="G152" s="11">
        <v>554942</v>
      </c>
      <c r="I152" s="26">
        <v>11.457000000000001</v>
      </c>
      <c r="J152" s="11">
        <v>7143563</v>
      </c>
      <c r="K152" s="41"/>
      <c r="L152" s="11">
        <v>12.837</v>
      </c>
      <c r="M152" s="11">
        <v>3100062</v>
      </c>
      <c r="O152" s="26">
        <v>16.263000000000002</v>
      </c>
      <c r="P152" s="11">
        <v>1140422</v>
      </c>
      <c r="Q152" s="44"/>
      <c r="T152" s="3"/>
      <c r="U152" s="11">
        <v>18.45</v>
      </c>
      <c r="V152" s="11">
        <v>39078</v>
      </c>
      <c r="W152" s="14"/>
      <c r="X152" s="11">
        <v>19.37</v>
      </c>
      <c r="Y152" s="11">
        <v>1688793</v>
      </c>
      <c r="Z152" s="49"/>
      <c r="AC152" s="3"/>
    </row>
    <row r="153" spans="1:29" ht="15.75" customHeight="1">
      <c r="A153" s="2" t="s">
        <v>208</v>
      </c>
      <c r="B153" s="37" t="s">
        <v>48</v>
      </c>
      <c r="C153" s="11">
        <v>8.1669999999999998</v>
      </c>
      <c r="D153" s="11">
        <v>1665248</v>
      </c>
      <c r="E153" s="30"/>
      <c r="F153" s="11">
        <v>10.766999999999999</v>
      </c>
      <c r="G153" s="11">
        <v>552332</v>
      </c>
      <c r="I153" s="26">
        <v>11.452999999999999</v>
      </c>
      <c r="J153" s="11">
        <v>8385045</v>
      </c>
      <c r="K153" s="41"/>
      <c r="L153" s="11">
        <v>12.843</v>
      </c>
      <c r="M153" s="11">
        <v>3280172</v>
      </c>
      <c r="O153" s="26">
        <v>16.277000000000001</v>
      </c>
      <c r="P153" s="11">
        <v>1747130</v>
      </c>
      <c r="Q153" s="44"/>
      <c r="T153" s="3"/>
      <c r="U153" s="11">
        <v>18.829999999999998</v>
      </c>
      <c r="V153" s="11">
        <v>59777</v>
      </c>
      <c r="W153" s="14"/>
      <c r="X153" s="11">
        <v>19.367000000000001</v>
      </c>
      <c r="Y153" s="11">
        <v>1895376</v>
      </c>
      <c r="Z153" s="49"/>
      <c r="AC153" s="3"/>
    </row>
    <row r="154" spans="1:29" ht="15.75" customHeight="1">
      <c r="A154" s="2" t="s">
        <v>209</v>
      </c>
      <c r="B154" s="37" t="s">
        <v>48</v>
      </c>
      <c r="C154" s="11">
        <v>8.1969999999999992</v>
      </c>
      <c r="D154" s="11">
        <v>1205463</v>
      </c>
      <c r="E154" s="30"/>
      <c r="F154" s="11">
        <v>10.542999999999999</v>
      </c>
      <c r="G154" s="11">
        <v>815686</v>
      </c>
      <c r="I154" s="26">
        <v>11.74</v>
      </c>
      <c r="J154" s="11">
        <v>10018987</v>
      </c>
      <c r="K154" s="41"/>
      <c r="L154" s="11">
        <v>12.847</v>
      </c>
      <c r="M154" s="11">
        <v>3682726</v>
      </c>
      <c r="O154" s="26">
        <v>16.343</v>
      </c>
      <c r="P154" s="11">
        <v>1202994</v>
      </c>
      <c r="Q154" s="44"/>
      <c r="T154" s="3"/>
      <c r="U154" s="11">
        <v>18.803000000000001</v>
      </c>
      <c r="V154" s="11">
        <v>16406</v>
      </c>
      <c r="W154" s="14"/>
      <c r="X154" s="11">
        <v>19.363</v>
      </c>
      <c r="Y154" s="11">
        <v>531050</v>
      </c>
      <c r="Z154" s="49"/>
      <c r="AC154" s="3"/>
    </row>
    <row r="155" spans="1:29" ht="15.75" customHeight="1">
      <c r="A155" s="2" t="s">
        <v>210</v>
      </c>
      <c r="B155" s="37" t="s">
        <v>48</v>
      </c>
      <c r="C155" s="11">
        <v>8.17</v>
      </c>
      <c r="D155" s="11">
        <v>2292132</v>
      </c>
      <c r="E155" s="30"/>
      <c r="F155" s="11">
        <v>10.776999999999999</v>
      </c>
      <c r="G155" s="11">
        <v>789274</v>
      </c>
      <c r="I155" s="26">
        <v>11.46</v>
      </c>
      <c r="J155" s="11">
        <v>8145162</v>
      </c>
      <c r="K155" s="41"/>
      <c r="L155" s="11">
        <v>12.843</v>
      </c>
      <c r="M155" s="11">
        <v>4435284</v>
      </c>
      <c r="O155" s="26">
        <v>16.260000000000002</v>
      </c>
      <c r="P155" s="11">
        <v>1853892</v>
      </c>
      <c r="Q155" s="44"/>
      <c r="T155" s="3"/>
      <c r="U155" s="11">
        <v>18.837</v>
      </c>
      <c r="V155" s="11">
        <v>75584</v>
      </c>
      <c r="W155" s="14"/>
      <c r="X155" s="11">
        <v>19.363</v>
      </c>
      <c r="Y155" s="11">
        <v>665315</v>
      </c>
      <c r="Z155" s="49"/>
      <c r="AC155" s="3"/>
    </row>
    <row r="156" spans="1:29" ht="15.75" customHeight="1">
      <c r="A156" s="2" t="s">
        <v>211</v>
      </c>
      <c r="B156" s="37" t="s">
        <v>52</v>
      </c>
      <c r="C156" s="11">
        <v>8.1869999999999994</v>
      </c>
      <c r="D156" s="11">
        <v>1491365</v>
      </c>
      <c r="E156" s="30"/>
      <c r="F156" s="11">
        <v>10.757</v>
      </c>
      <c r="G156" s="11">
        <v>752115</v>
      </c>
      <c r="I156" s="26">
        <v>11.462999999999999</v>
      </c>
      <c r="J156" s="11">
        <v>10071579</v>
      </c>
      <c r="K156" s="41"/>
      <c r="L156" s="11">
        <v>12.843</v>
      </c>
      <c r="M156" s="11">
        <v>3905248</v>
      </c>
      <c r="O156" s="26">
        <v>16.266999999999999</v>
      </c>
      <c r="P156" s="11">
        <v>2237870</v>
      </c>
      <c r="Q156" s="44"/>
      <c r="T156" s="3"/>
      <c r="U156" s="11">
        <v>18.837</v>
      </c>
      <c r="V156" s="11">
        <v>53050</v>
      </c>
      <c r="W156" s="14"/>
      <c r="X156" s="11">
        <v>19.367000000000001</v>
      </c>
      <c r="Y156" s="11">
        <v>1863185</v>
      </c>
      <c r="Z156" s="49"/>
      <c r="AC156" s="3"/>
    </row>
    <row r="157" spans="1:29" ht="15.75" customHeight="1">
      <c r="A157" s="2" t="s">
        <v>212</v>
      </c>
      <c r="B157" s="37" t="s">
        <v>52</v>
      </c>
      <c r="C157" s="11">
        <v>8.17</v>
      </c>
      <c r="D157" s="11">
        <v>2719721</v>
      </c>
      <c r="E157" s="30"/>
      <c r="F157" s="11">
        <v>10.547000000000001</v>
      </c>
      <c r="G157" s="11">
        <v>1264167</v>
      </c>
      <c r="I157" s="26">
        <v>11.75</v>
      </c>
      <c r="J157" s="11">
        <v>15573356</v>
      </c>
      <c r="K157" s="41"/>
      <c r="L157" s="11">
        <v>12.85</v>
      </c>
      <c r="M157" s="11">
        <v>5238477</v>
      </c>
      <c r="O157" s="26">
        <v>16.273</v>
      </c>
      <c r="P157" s="11">
        <v>2173181</v>
      </c>
      <c r="Q157" s="44"/>
      <c r="T157" s="3"/>
      <c r="U157" s="11">
        <v>18.812999999999999</v>
      </c>
      <c r="V157" s="11">
        <v>33157</v>
      </c>
      <c r="W157" s="14"/>
      <c r="X157" s="11">
        <v>19.353000000000002</v>
      </c>
      <c r="Y157" s="11">
        <v>1349141</v>
      </c>
      <c r="Z157" s="49"/>
      <c r="AC157" s="3"/>
    </row>
    <row r="158" spans="1:29" ht="15.75" customHeight="1">
      <c r="A158" s="2" t="s">
        <v>213</v>
      </c>
      <c r="B158" s="37" t="s">
        <v>52</v>
      </c>
      <c r="C158" s="11">
        <v>8.1669999999999998</v>
      </c>
      <c r="D158" s="11">
        <v>1683646</v>
      </c>
      <c r="E158" s="30"/>
      <c r="F158" s="11">
        <v>10.807</v>
      </c>
      <c r="G158" s="11">
        <v>490242</v>
      </c>
      <c r="I158" s="26">
        <v>11.45</v>
      </c>
      <c r="J158" s="11">
        <v>4906011</v>
      </c>
      <c r="K158" s="41"/>
      <c r="L158" s="11">
        <v>12.843</v>
      </c>
      <c r="M158" s="11">
        <v>3129832</v>
      </c>
      <c r="O158" s="26">
        <v>16.3</v>
      </c>
      <c r="P158" s="11">
        <v>1488105</v>
      </c>
      <c r="Q158" s="44"/>
      <c r="T158" s="3"/>
      <c r="U158" s="11">
        <v>18.882999999999999</v>
      </c>
      <c r="V158" s="11">
        <v>100585</v>
      </c>
      <c r="W158" s="14"/>
      <c r="X158" s="11">
        <v>19.356999999999999</v>
      </c>
      <c r="Y158" s="11">
        <v>1325723</v>
      </c>
      <c r="Z158" s="49"/>
      <c r="AC158" s="3"/>
    </row>
    <row r="159" spans="1:29" ht="15.75" customHeight="1">
      <c r="A159" s="2" t="s">
        <v>214</v>
      </c>
      <c r="B159" s="37" t="s">
        <v>56</v>
      </c>
      <c r="C159" s="11">
        <v>8.173</v>
      </c>
      <c r="D159" s="11">
        <v>1093211</v>
      </c>
      <c r="E159" s="30"/>
      <c r="F159" s="11">
        <v>10.817</v>
      </c>
      <c r="G159" s="11">
        <v>541908</v>
      </c>
      <c r="I159" s="26">
        <v>11.462999999999999</v>
      </c>
      <c r="J159" s="11">
        <v>5553801</v>
      </c>
      <c r="K159" s="41"/>
      <c r="L159" s="11">
        <v>12.847</v>
      </c>
      <c r="M159" s="11">
        <v>3165776</v>
      </c>
      <c r="O159" s="26">
        <v>16.32</v>
      </c>
      <c r="P159" s="11">
        <v>1788536</v>
      </c>
      <c r="Q159" s="44"/>
      <c r="T159" s="3"/>
      <c r="U159" s="11">
        <v>18.91</v>
      </c>
      <c r="V159" s="11">
        <v>161519</v>
      </c>
      <c r="W159" s="14"/>
      <c r="X159" s="11">
        <v>19.353000000000002</v>
      </c>
      <c r="Y159" s="11">
        <v>1475422</v>
      </c>
      <c r="Z159" s="49"/>
      <c r="AC159" s="3"/>
    </row>
    <row r="160" spans="1:29" ht="15.75" customHeight="1">
      <c r="A160" s="2" t="s">
        <v>215</v>
      </c>
      <c r="B160" s="37" t="s">
        <v>56</v>
      </c>
      <c r="C160" s="11">
        <v>8.19</v>
      </c>
      <c r="D160" s="11">
        <v>1195739</v>
      </c>
      <c r="E160" s="30"/>
      <c r="F160" s="11">
        <v>10.82</v>
      </c>
      <c r="G160" s="11">
        <v>699419</v>
      </c>
      <c r="I160" s="26">
        <v>11.47</v>
      </c>
      <c r="J160" s="11">
        <v>5284064</v>
      </c>
      <c r="K160" s="41"/>
      <c r="L160" s="11">
        <v>12.853</v>
      </c>
      <c r="M160" s="11">
        <v>3836709</v>
      </c>
      <c r="O160" s="26">
        <v>16.327000000000002</v>
      </c>
      <c r="P160" s="11">
        <v>1494348</v>
      </c>
      <c r="Q160" s="44"/>
      <c r="T160" s="3"/>
      <c r="U160" s="11">
        <v>18.902999999999999</v>
      </c>
      <c r="V160" s="11">
        <v>519710</v>
      </c>
      <c r="W160" s="14"/>
      <c r="X160" s="11">
        <v>19.347000000000001</v>
      </c>
      <c r="Y160" s="11">
        <v>1517984</v>
      </c>
      <c r="Z160" s="49"/>
      <c r="AC160" s="3"/>
    </row>
    <row r="161" spans="1:29" ht="15.75" customHeight="1">
      <c r="A161" s="2" t="s">
        <v>216</v>
      </c>
      <c r="B161" s="37" t="s">
        <v>56</v>
      </c>
      <c r="C161" t="s">
        <v>217</v>
      </c>
      <c r="D161" t="s">
        <v>217</v>
      </c>
      <c r="E161" t="s">
        <v>217</v>
      </c>
      <c r="F161" t="s">
        <v>217</v>
      </c>
      <c r="G161" t="s">
        <v>217</v>
      </c>
      <c r="I161" t="s">
        <v>217</v>
      </c>
      <c r="J161" t="s">
        <v>217</v>
      </c>
      <c r="K161" s="41"/>
      <c r="L161" t="s">
        <v>217</v>
      </c>
      <c r="M161" t="s">
        <v>217</v>
      </c>
      <c r="O161" t="s">
        <v>217</v>
      </c>
      <c r="P161" t="s">
        <v>217</v>
      </c>
      <c r="Q161" s="44"/>
      <c r="R161" t="s">
        <v>217</v>
      </c>
      <c r="S161" t="s">
        <v>217</v>
      </c>
      <c r="T161" t="s">
        <v>217</v>
      </c>
      <c r="U161" t="s">
        <v>217</v>
      </c>
      <c r="V161" t="s">
        <v>217</v>
      </c>
      <c r="W161" t="s">
        <v>217</v>
      </c>
      <c r="X161" t="s">
        <v>217</v>
      </c>
      <c r="Y161" t="s">
        <v>217</v>
      </c>
      <c r="Z161" s="49"/>
      <c r="AA161" t="s">
        <v>217</v>
      </c>
      <c r="AB161" t="s">
        <v>217</v>
      </c>
      <c r="AC161" t="s">
        <v>217</v>
      </c>
    </row>
    <row r="162" spans="1:29" ht="15.75" customHeight="1">
      <c r="A162" s="2" t="s">
        <v>218</v>
      </c>
      <c r="B162" s="37" t="s">
        <v>60</v>
      </c>
      <c r="C162" s="11">
        <v>8.173</v>
      </c>
      <c r="D162" s="11">
        <v>1988629</v>
      </c>
      <c r="E162" s="30"/>
      <c r="F162" s="11">
        <v>10.83</v>
      </c>
      <c r="G162" s="11">
        <v>772740</v>
      </c>
      <c r="I162" s="26">
        <v>11.473000000000001</v>
      </c>
      <c r="J162" s="11">
        <v>4799697</v>
      </c>
      <c r="K162" s="41"/>
      <c r="L162" s="11">
        <v>12.856999999999999</v>
      </c>
      <c r="M162" s="11">
        <v>3706756</v>
      </c>
      <c r="O162" s="26">
        <v>16.347000000000001</v>
      </c>
      <c r="P162" s="11">
        <v>958065</v>
      </c>
      <c r="Q162" s="44"/>
      <c r="T162" s="3"/>
      <c r="U162" s="11">
        <v>18.542999999999999</v>
      </c>
      <c r="V162" s="11">
        <v>264542</v>
      </c>
      <c r="W162" s="14"/>
      <c r="X162" s="11">
        <v>19.347000000000001</v>
      </c>
      <c r="Y162" s="11">
        <v>1563937</v>
      </c>
      <c r="Z162" s="49"/>
      <c r="AC162" s="3"/>
    </row>
    <row r="163" spans="1:29" ht="15.75" customHeight="1">
      <c r="A163" s="2" t="s">
        <v>219</v>
      </c>
      <c r="B163" s="37" t="s">
        <v>60</v>
      </c>
      <c r="C163" s="11">
        <v>8.173</v>
      </c>
      <c r="D163" s="11">
        <v>1195475</v>
      </c>
      <c r="E163" s="30"/>
      <c r="F163" s="11">
        <v>10.82</v>
      </c>
      <c r="G163" s="11">
        <v>566847</v>
      </c>
      <c r="I163" s="26">
        <v>11.467000000000001</v>
      </c>
      <c r="J163" s="11">
        <v>4867192</v>
      </c>
      <c r="K163" s="41"/>
      <c r="L163" s="11">
        <v>12.85</v>
      </c>
      <c r="M163" s="11">
        <v>2967254</v>
      </c>
      <c r="O163" s="26">
        <v>16.353000000000002</v>
      </c>
      <c r="P163" s="11">
        <v>1026035</v>
      </c>
      <c r="Q163" s="44"/>
      <c r="T163" s="3"/>
      <c r="U163" s="11">
        <v>18.5</v>
      </c>
      <c r="V163" s="11">
        <v>571394</v>
      </c>
      <c r="W163" s="14"/>
      <c r="X163" s="11">
        <v>19.350000000000001</v>
      </c>
      <c r="Y163" s="11">
        <v>1364278</v>
      </c>
      <c r="Z163" s="49"/>
      <c r="AC163" s="3"/>
    </row>
    <row r="164" spans="1:29" ht="15.75" customHeight="1">
      <c r="A164" s="2" t="s">
        <v>220</v>
      </c>
      <c r="B164" s="37" t="s">
        <v>60</v>
      </c>
      <c r="C164" s="11">
        <v>8.17</v>
      </c>
      <c r="D164" s="11">
        <v>1066041</v>
      </c>
      <c r="E164" s="30"/>
      <c r="F164" s="11">
        <v>10.827</v>
      </c>
      <c r="G164" s="11">
        <v>623548</v>
      </c>
      <c r="I164" s="26">
        <v>11.473000000000001</v>
      </c>
      <c r="J164" s="11">
        <v>4962735</v>
      </c>
      <c r="K164" s="41"/>
      <c r="L164" s="11">
        <v>12.85</v>
      </c>
      <c r="M164" s="11">
        <v>2976116</v>
      </c>
      <c r="O164" s="26">
        <v>16.353000000000002</v>
      </c>
      <c r="P164" s="11">
        <v>767665</v>
      </c>
      <c r="Q164" s="44"/>
      <c r="T164" s="3"/>
      <c r="U164" s="11">
        <v>18.503</v>
      </c>
      <c r="V164" s="11">
        <v>414471</v>
      </c>
      <c r="W164" s="14"/>
      <c r="X164" s="11">
        <v>19.343</v>
      </c>
      <c r="Y164" s="11">
        <v>937908</v>
      </c>
      <c r="Z164" s="49"/>
      <c r="AC164" s="3"/>
    </row>
    <row r="165" spans="1:29" ht="15.75" customHeight="1">
      <c r="A165" s="2" t="s">
        <v>221</v>
      </c>
      <c r="B165" s="37" t="s">
        <v>64</v>
      </c>
      <c r="C165" s="11">
        <v>8.1869999999999994</v>
      </c>
      <c r="D165" s="11">
        <v>1314042</v>
      </c>
      <c r="E165" s="30"/>
      <c r="F165" s="11">
        <v>10.542999999999999</v>
      </c>
      <c r="G165" s="11">
        <v>1034792</v>
      </c>
      <c r="I165" s="26">
        <v>11.753</v>
      </c>
      <c r="J165" s="11">
        <v>9607046</v>
      </c>
      <c r="K165" s="41"/>
      <c r="L165" s="11">
        <v>12.853</v>
      </c>
      <c r="M165" s="11">
        <v>4001890</v>
      </c>
      <c r="O165" s="26">
        <v>16.356999999999999</v>
      </c>
      <c r="P165" s="11">
        <v>1532752</v>
      </c>
      <c r="Q165" s="44"/>
      <c r="T165" s="3"/>
      <c r="U165" s="11">
        <v>18.542999999999999</v>
      </c>
      <c r="V165" s="11">
        <v>430685</v>
      </c>
      <c r="W165" s="14"/>
      <c r="X165" s="11">
        <v>19.343</v>
      </c>
      <c r="Y165" s="11">
        <v>846984</v>
      </c>
      <c r="Z165" s="49"/>
      <c r="AC165" s="3"/>
    </row>
    <row r="166" spans="1:29" ht="15.75" customHeight="1">
      <c r="A166" s="2" t="s">
        <v>222</v>
      </c>
      <c r="B166" s="37" t="s">
        <v>64</v>
      </c>
      <c r="C166" s="11">
        <v>8.18</v>
      </c>
      <c r="D166" s="11">
        <v>999549</v>
      </c>
      <c r="E166" s="30"/>
      <c r="F166" s="11">
        <v>10.81</v>
      </c>
      <c r="G166" s="11">
        <v>691594</v>
      </c>
      <c r="I166" s="26">
        <v>11.473000000000001</v>
      </c>
      <c r="J166" s="11">
        <v>6467811</v>
      </c>
      <c r="K166" s="41"/>
      <c r="L166" s="11">
        <v>12.85</v>
      </c>
      <c r="M166" s="11">
        <v>2998167</v>
      </c>
      <c r="O166" s="26">
        <v>16.363</v>
      </c>
      <c r="P166" s="11">
        <v>1076260</v>
      </c>
      <c r="Q166" s="44"/>
      <c r="T166" s="3"/>
      <c r="U166" s="11">
        <v>18.542999999999999</v>
      </c>
      <c r="V166" s="11">
        <v>412651</v>
      </c>
      <c r="W166" s="14"/>
      <c r="X166" s="11">
        <v>19.347000000000001</v>
      </c>
      <c r="Y166" s="11">
        <v>966429</v>
      </c>
      <c r="Z166" s="49"/>
      <c r="AC166" s="3"/>
    </row>
    <row r="167" spans="1:29" ht="15.75" customHeight="1">
      <c r="A167" s="2" t="s">
        <v>223</v>
      </c>
      <c r="B167" s="37" t="s">
        <v>64</v>
      </c>
      <c r="C167" s="11">
        <v>8.1769999999999996</v>
      </c>
      <c r="D167" s="11">
        <v>833749</v>
      </c>
      <c r="E167" s="30"/>
      <c r="F167" s="11">
        <v>10.8</v>
      </c>
      <c r="G167" s="11">
        <v>440528</v>
      </c>
      <c r="I167" s="26">
        <v>11.457000000000001</v>
      </c>
      <c r="J167" s="11">
        <v>5075102</v>
      </c>
      <c r="K167" s="41"/>
      <c r="L167" s="11">
        <v>12.85</v>
      </c>
      <c r="M167" s="11">
        <v>2073883</v>
      </c>
      <c r="O167" s="26">
        <v>16.36</v>
      </c>
      <c r="P167" s="11">
        <v>856120</v>
      </c>
      <c r="Q167" s="44"/>
      <c r="T167" s="3"/>
      <c r="U167" s="11">
        <v>18.597000000000001</v>
      </c>
      <c r="V167" s="11">
        <v>358966</v>
      </c>
      <c r="W167" s="14"/>
      <c r="X167" s="11">
        <v>19.343</v>
      </c>
      <c r="Y167" s="11">
        <v>2119808</v>
      </c>
      <c r="Z167" s="49"/>
      <c r="AC167" s="3"/>
    </row>
    <row r="168" spans="1:29" ht="15.75" customHeight="1">
      <c r="A168" s="2" t="s">
        <v>224</v>
      </c>
      <c r="B168" s="37" t="s">
        <v>68</v>
      </c>
      <c r="C168" s="11">
        <v>8.173</v>
      </c>
      <c r="D168" s="11">
        <v>1019525</v>
      </c>
      <c r="E168" s="30"/>
      <c r="F168" s="11">
        <v>10.823</v>
      </c>
      <c r="G168" s="11">
        <v>536594</v>
      </c>
      <c r="I168" s="26">
        <v>11.467000000000001</v>
      </c>
      <c r="J168" s="11">
        <v>4838266</v>
      </c>
      <c r="K168" s="41"/>
      <c r="L168" s="11">
        <v>12.847</v>
      </c>
      <c r="M168" s="11">
        <v>2581430</v>
      </c>
      <c r="O168" s="26">
        <v>16.36</v>
      </c>
      <c r="P168" s="11">
        <v>1031264</v>
      </c>
      <c r="Q168" s="44"/>
      <c r="T168" s="3"/>
      <c r="U168" s="11">
        <v>17.693000000000001</v>
      </c>
      <c r="V168" s="11">
        <v>238950</v>
      </c>
      <c r="W168" s="14"/>
      <c r="X168" s="11">
        <v>19.343</v>
      </c>
      <c r="Y168" s="11">
        <v>1526036</v>
      </c>
      <c r="Z168" s="49"/>
      <c r="AC168" s="3"/>
    </row>
    <row r="169" spans="1:29" ht="15.75" customHeight="1">
      <c r="A169" s="2" t="s">
        <v>225</v>
      </c>
      <c r="B169" s="37" t="s">
        <v>68</v>
      </c>
      <c r="C169" s="11">
        <v>8.1829999999999998</v>
      </c>
      <c r="D169" s="11">
        <v>665683</v>
      </c>
      <c r="E169" s="30"/>
      <c r="F169" s="11">
        <v>10.817</v>
      </c>
      <c r="G169" s="11">
        <v>442255</v>
      </c>
      <c r="I169" s="26">
        <v>11.46</v>
      </c>
      <c r="J169" s="11">
        <v>5263876</v>
      </c>
      <c r="K169" s="41"/>
      <c r="L169" s="11">
        <v>12.847</v>
      </c>
      <c r="M169" s="11">
        <v>2122572</v>
      </c>
      <c r="O169" s="26">
        <v>16.363</v>
      </c>
      <c r="P169" s="11">
        <v>833101</v>
      </c>
      <c r="Q169" s="44"/>
      <c r="T169" s="3"/>
      <c r="U169" s="11">
        <v>18.59</v>
      </c>
      <c r="V169" s="11">
        <v>315248</v>
      </c>
      <c r="W169" s="14"/>
      <c r="X169" s="11">
        <v>19.347000000000001</v>
      </c>
      <c r="Y169" s="11">
        <v>2254309</v>
      </c>
      <c r="Z169" s="49"/>
      <c r="AC169" s="3"/>
    </row>
    <row r="170" spans="1:29" ht="15.75" customHeight="1">
      <c r="A170" s="2" t="s">
        <v>226</v>
      </c>
      <c r="B170" s="37" t="s">
        <v>68</v>
      </c>
      <c r="C170" s="11">
        <v>8.1829999999999998</v>
      </c>
      <c r="D170" s="11">
        <v>884910</v>
      </c>
      <c r="E170" s="30"/>
      <c r="F170" s="11">
        <v>10.82</v>
      </c>
      <c r="G170" s="11">
        <v>550167</v>
      </c>
      <c r="I170" s="26">
        <v>11.467000000000001</v>
      </c>
      <c r="J170" s="11">
        <v>5539082</v>
      </c>
      <c r="K170" s="41"/>
      <c r="L170" s="11">
        <v>12.847</v>
      </c>
      <c r="M170" s="11">
        <v>2554954</v>
      </c>
      <c r="O170" s="26">
        <v>16.36</v>
      </c>
      <c r="P170" s="11">
        <v>865393</v>
      </c>
      <c r="Q170" s="44"/>
      <c r="T170" s="3"/>
      <c r="U170" s="11">
        <v>17.742999999999999</v>
      </c>
      <c r="V170" s="11">
        <v>249095</v>
      </c>
      <c r="W170" s="14"/>
      <c r="X170" s="11">
        <v>19.34</v>
      </c>
      <c r="Y170" s="11">
        <v>2145859</v>
      </c>
      <c r="Z170" s="49"/>
      <c r="AC170" s="3"/>
    </row>
    <row r="171" spans="1:29" ht="15.75" customHeight="1">
      <c r="A171" s="2" t="s">
        <v>227</v>
      </c>
      <c r="B171" s="37" t="s">
        <v>72</v>
      </c>
      <c r="C171" s="11">
        <v>8.1769999999999996</v>
      </c>
      <c r="D171" s="11">
        <v>1070558</v>
      </c>
      <c r="E171" s="30"/>
      <c r="F171" s="11">
        <v>10.827</v>
      </c>
      <c r="G171" s="11">
        <v>565325</v>
      </c>
      <c r="I171" s="26">
        <v>11.477</v>
      </c>
      <c r="J171" s="11">
        <v>4985670</v>
      </c>
      <c r="K171" s="41"/>
      <c r="L171" s="11">
        <v>12.847</v>
      </c>
      <c r="M171" s="11">
        <v>3031822</v>
      </c>
      <c r="O171" s="26">
        <v>16.36</v>
      </c>
      <c r="P171" s="11">
        <v>805729</v>
      </c>
      <c r="Q171" s="44"/>
      <c r="T171" s="3"/>
      <c r="U171" s="11">
        <v>18.577000000000002</v>
      </c>
      <c r="V171" s="11">
        <v>326004</v>
      </c>
      <c r="W171" s="14"/>
      <c r="X171" s="11">
        <v>19.343</v>
      </c>
      <c r="Y171" s="11">
        <v>1857067</v>
      </c>
      <c r="Z171" s="49"/>
      <c r="AC171" s="3"/>
    </row>
    <row r="172" spans="1:29" ht="15.75" customHeight="1">
      <c r="A172" s="2" t="s">
        <v>228</v>
      </c>
      <c r="B172" s="37" t="s">
        <v>72</v>
      </c>
      <c r="C172" s="11">
        <v>8.1829999999999998</v>
      </c>
      <c r="D172" s="11">
        <v>930144</v>
      </c>
      <c r="E172" s="30"/>
      <c r="F172" s="11">
        <v>10.827</v>
      </c>
      <c r="G172" s="11">
        <v>533771</v>
      </c>
      <c r="I172" s="26">
        <v>11.477</v>
      </c>
      <c r="J172" s="11">
        <v>5229948</v>
      </c>
      <c r="K172" s="41"/>
      <c r="L172" s="11">
        <v>12.85</v>
      </c>
      <c r="M172" s="11">
        <v>2788107</v>
      </c>
      <c r="O172" s="26">
        <v>16.36</v>
      </c>
      <c r="P172" s="11">
        <v>814571</v>
      </c>
      <c r="Q172" s="44"/>
      <c r="T172" s="3"/>
      <c r="U172" s="11">
        <v>18.856999999999999</v>
      </c>
      <c r="V172" s="11">
        <v>307</v>
      </c>
      <c r="W172" s="14"/>
      <c r="X172" s="11">
        <v>19.347000000000001</v>
      </c>
      <c r="Y172" s="11">
        <v>1663573</v>
      </c>
      <c r="Z172" s="49"/>
      <c r="AC172" s="3"/>
    </row>
    <row r="173" spans="1:29" ht="15.75" customHeight="1">
      <c r="A173" s="2" t="s">
        <v>229</v>
      </c>
      <c r="B173" s="37" t="s">
        <v>72</v>
      </c>
      <c r="C173" s="11">
        <v>8.18</v>
      </c>
      <c r="D173" s="11">
        <v>1190326</v>
      </c>
      <c r="E173" s="30"/>
      <c r="F173" s="11">
        <v>10.823</v>
      </c>
      <c r="G173" s="11">
        <v>645467</v>
      </c>
      <c r="I173" s="26">
        <v>11.477</v>
      </c>
      <c r="J173" s="11">
        <v>5207045</v>
      </c>
      <c r="K173" s="41"/>
      <c r="L173" s="11">
        <v>12.847</v>
      </c>
      <c r="M173" s="11">
        <v>2994092</v>
      </c>
      <c r="O173" s="26">
        <v>16.356999999999999</v>
      </c>
      <c r="P173" s="11">
        <v>1081936</v>
      </c>
      <c r="Q173" s="44"/>
      <c r="T173" s="3"/>
      <c r="U173" s="11">
        <v>18.567</v>
      </c>
      <c r="V173" s="11">
        <v>346619</v>
      </c>
      <c r="W173" s="14"/>
      <c r="X173" s="11">
        <v>19.34</v>
      </c>
      <c r="Y173" s="11">
        <v>2092219</v>
      </c>
      <c r="Z173" s="49"/>
      <c r="AC173" s="3"/>
    </row>
    <row r="174" spans="1:29" ht="15.75" customHeight="1">
      <c r="A174" s="2" t="s">
        <v>230</v>
      </c>
      <c r="B174" s="37" t="s">
        <v>76</v>
      </c>
      <c r="C174" s="11">
        <v>8.1769999999999996</v>
      </c>
      <c r="D174" s="11">
        <v>2246667</v>
      </c>
      <c r="E174" s="30"/>
      <c r="F174" s="11">
        <v>10.84</v>
      </c>
      <c r="G174" s="11">
        <v>656696</v>
      </c>
      <c r="I174" s="26">
        <v>11.497</v>
      </c>
      <c r="J174" s="11">
        <v>6190369</v>
      </c>
      <c r="K174" s="41"/>
      <c r="L174" s="11">
        <v>12.853</v>
      </c>
      <c r="M174" s="11">
        <v>3610600</v>
      </c>
      <c r="O174" s="26">
        <v>16.356999999999999</v>
      </c>
      <c r="P174" s="11">
        <v>1196350</v>
      </c>
      <c r="Q174" s="44"/>
      <c r="T174" s="3"/>
      <c r="U174" s="11">
        <v>18.54</v>
      </c>
      <c r="V174" s="11">
        <v>452763</v>
      </c>
      <c r="W174" s="14"/>
      <c r="X174" s="11">
        <v>19.343</v>
      </c>
      <c r="Y174" s="11">
        <v>2752363</v>
      </c>
      <c r="Z174" s="49"/>
      <c r="AA174" s="11">
        <v>20.11</v>
      </c>
      <c r="AB174" s="11">
        <v>849201</v>
      </c>
      <c r="AC174" s="3"/>
    </row>
    <row r="175" spans="1:29" ht="15.75" customHeight="1">
      <c r="A175" s="2" t="s">
        <v>231</v>
      </c>
      <c r="B175" s="37" t="s">
        <v>76</v>
      </c>
      <c r="C175" s="11">
        <v>8.1769999999999996</v>
      </c>
      <c r="D175" s="11">
        <v>1464157</v>
      </c>
      <c r="E175" s="30"/>
      <c r="F175" s="11">
        <v>10.833</v>
      </c>
      <c r="G175" s="11">
        <v>571812</v>
      </c>
      <c r="I175" s="26">
        <v>11.48</v>
      </c>
      <c r="J175" s="11">
        <v>4743543</v>
      </c>
      <c r="K175" s="41"/>
      <c r="L175" s="11">
        <v>12.85</v>
      </c>
      <c r="M175" s="11">
        <v>3408188</v>
      </c>
      <c r="O175" s="26">
        <v>16.36</v>
      </c>
      <c r="P175" s="11">
        <v>1292312</v>
      </c>
      <c r="Q175" s="44"/>
      <c r="T175" s="3"/>
      <c r="U175" s="11">
        <v>18.523</v>
      </c>
      <c r="V175" s="11">
        <v>482490</v>
      </c>
      <c r="W175" s="14"/>
      <c r="X175" s="11">
        <v>19.34</v>
      </c>
      <c r="Y175" s="11">
        <v>3043161</v>
      </c>
      <c r="Z175" s="49"/>
      <c r="AA175" s="11">
        <v>20.106999999999999</v>
      </c>
      <c r="AB175" s="11">
        <v>876787</v>
      </c>
      <c r="AC175" s="3"/>
    </row>
    <row r="176" spans="1:29" ht="15.75" customHeight="1">
      <c r="A176" s="2" t="s">
        <v>232</v>
      </c>
      <c r="B176" s="37" t="s">
        <v>76</v>
      </c>
      <c r="C176" s="11">
        <v>8.18</v>
      </c>
      <c r="D176" s="11">
        <v>1646726</v>
      </c>
      <c r="E176" s="30"/>
      <c r="F176" s="11">
        <v>10.833</v>
      </c>
      <c r="G176" s="11">
        <v>719145</v>
      </c>
      <c r="I176" s="26">
        <v>11.49</v>
      </c>
      <c r="J176" s="11">
        <v>5772668</v>
      </c>
      <c r="K176" s="41"/>
      <c r="L176" s="11">
        <v>12.853</v>
      </c>
      <c r="M176" s="11">
        <v>3933303</v>
      </c>
      <c r="O176" s="26">
        <v>16.36</v>
      </c>
      <c r="P176" s="11">
        <v>1303781</v>
      </c>
      <c r="Q176" s="44"/>
      <c r="T176" s="3"/>
      <c r="U176" s="11">
        <v>18.516999999999999</v>
      </c>
      <c r="V176" s="11">
        <v>472419</v>
      </c>
      <c r="W176" s="14"/>
      <c r="X176" s="11">
        <v>19.343</v>
      </c>
      <c r="Y176" s="11">
        <v>2862253</v>
      </c>
      <c r="Z176" s="49"/>
      <c r="AC176" s="3"/>
    </row>
    <row r="177" spans="1:29" ht="15.75" customHeight="1">
      <c r="A177" s="2" t="s">
        <v>233</v>
      </c>
      <c r="B177" s="37" t="s">
        <v>80</v>
      </c>
      <c r="C177" s="11">
        <v>8.1769999999999996</v>
      </c>
      <c r="D177" s="11">
        <v>1457715</v>
      </c>
      <c r="E177" s="30"/>
      <c r="F177" s="11">
        <v>10.823</v>
      </c>
      <c r="G177" s="11">
        <v>490683</v>
      </c>
      <c r="I177" s="26">
        <v>11.462999999999999</v>
      </c>
      <c r="J177" s="11">
        <v>3952552</v>
      </c>
      <c r="K177" s="41"/>
      <c r="L177" s="11">
        <v>12.84</v>
      </c>
      <c r="M177" s="11">
        <v>2556814</v>
      </c>
      <c r="O177" s="26">
        <v>16.34</v>
      </c>
      <c r="P177" s="11">
        <v>1224775</v>
      </c>
      <c r="Q177" s="44"/>
      <c r="T177" s="3"/>
      <c r="U177" s="11">
        <v>18.516999999999999</v>
      </c>
      <c r="V177" s="11">
        <v>565970</v>
      </c>
      <c r="W177" s="14"/>
      <c r="X177" s="11">
        <v>19.347000000000001</v>
      </c>
      <c r="Y177" s="11">
        <v>2258120</v>
      </c>
      <c r="Z177" s="49"/>
      <c r="AC177" s="3"/>
    </row>
    <row r="178" spans="1:29" ht="15.75" customHeight="1">
      <c r="A178" s="2" t="s">
        <v>234</v>
      </c>
      <c r="B178" s="37" t="s">
        <v>80</v>
      </c>
      <c r="C178" s="11">
        <v>8.1769999999999996</v>
      </c>
      <c r="D178" s="11">
        <v>1456045</v>
      </c>
      <c r="E178" s="30"/>
      <c r="F178" s="11">
        <v>10.813000000000001</v>
      </c>
      <c r="G178" s="11">
        <v>562008</v>
      </c>
      <c r="I178" s="26">
        <v>11.457000000000001</v>
      </c>
      <c r="J178" s="11">
        <v>3986992</v>
      </c>
      <c r="K178" s="41"/>
      <c r="L178" s="11">
        <v>12.84</v>
      </c>
      <c r="M178" s="11">
        <v>3048460</v>
      </c>
      <c r="O178" s="26">
        <v>16.327000000000002</v>
      </c>
      <c r="P178" s="11">
        <v>1249651</v>
      </c>
      <c r="Q178" s="44"/>
      <c r="T178" s="3"/>
      <c r="U178" s="11">
        <v>18.483000000000001</v>
      </c>
      <c r="V178" s="11">
        <v>388628</v>
      </c>
      <c r="W178" s="14"/>
      <c r="X178" s="11">
        <v>19.343</v>
      </c>
      <c r="Y178" s="11">
        <v>2704821</v>
      </c>
      <c r="Z178" s="49"/>
      <c r="AC178" s="3"/>
    </row>
    <row r="179" spans="1:29" ht="15.75" customHeight="1">
      <c r="A179" s="2" t="s">
        <v>235</v>
      </c>
      <c r="B179" s="37" t="s">
        <v>80</v>
      </c>
      <c r="C179" s="11">
        <v>8.1969999999999992</v>
      </c>
      <c r="D179" s="11">
        <v>1563822</v>
      </c>
      <c r="E179" s="30"/>
      <c r="F179" s="11">
        <v>10.813000000000001</v>
      </c>
      <c r="G179" s="11">
        <v>567468</v>
      </c>
      <c r="I179" s="26">
        <v>11.452999999999999</v>
      </c>
      <c r="J179" s="11">
        <v>4077086</v>
      </c>
      <c r="K179" s="41"/>
      <c r="L179" s="11">
        <v>12.84</v>
      </c>
      <c r="M179" s="11">
        <v>2938378</v>
      </c>
      <c r="O179" s="26">
        <v>16.309999999999999</v>
      </c>
      <c r="P179" s="11">
        <v>1401131</v>
      </c>
      <c r="Q179" s="44"/>
      <c r="T179" s="3"/>
      <c r="U179" s="11">
        <v>18.437000000000001</v>
      </c>
      <c r="V179" s="11">
        <v>521797</v>
      </c>
      <c r="W179" s="14"/>
      <c r="X179" s="11">
        <v>19.34</v>
      </c>
      <c r="Y179" s="11">
        <v>2432140</v>
      </c>
      <c r="Z179" s="49"/>
      <c r="AC179" s="3"/>
    </row>
    <row r="180" spans="1:29" ht="15.75" customHeight="1">
      <c r="A180" s="2" t="s">
        <v>236</v>
      </c>
      <c r="B180" s="37" t="s">
        <v>84</v>
      </c>
      <c r="C180" s="11">
        <v>8.1829999999999998</v>
      </c>
      <c r="D180" s="11">
        <v>1626310</v>
      </c>
      <c r="E180" s="30"/>
      <c r="F180" s="11">
        <v>10.807</v>
      </c>
      <c r="G180" s="11">
        <v>644313</v>
      </c>
      <c r="I180" s="26">
        <v>11.457000000000001</v>
      </c>
      <c r="J180" s="11">
        <v>4792448</v>
      </c>
      <c r="K180" s="41"/>
      <c r="L180" s="11">
        <v>12.84</v>
      </c>
      <c r="M180" s="11">
        <v>3140047</v>
      </c>
      <c r="O180" s="26">
        <v>16.3</v>
      </c>
      <c r="P180" s="11">
        <v>1550958</v>
      </c>
      <c r="Q180" s="44"/>
      <c r="T180" s="3"/>
      <c r="U180" s="11">
        <v>18.41</v>
      </c>
      <c r="V180" s="11">
        <v>488381</v>
      </c>
      <c r="W180" s="14"/>
      <c r="X180" s="11">
        <v>19.343</v>
      </c>
      <c r="Y180" s="11">
        <v>2013061</v>
      </c>
      <c r="Z180" s="49"/>
      <c r="AC180" s="3"/>
    </row>
    <row r="181" spans="1:29" ht="15.75" customHeight="1">
      <c r="A181" s="2" t="s">
        <v>237</v>
      </c>
      <c r="B181" s="37" t="s">
        <v>84</v>
      </c>
      <c r="C181" s="11">
        <v>8.18</v>
      </c>
      <c r="D181" s="11">
        <v>1641792</v>
      </c>
      <c r="E181" s="30"/>
      <c r="F181" s="11">
        <v>10.807</v>
      </c>
      <c r="G181" s="11">
        <v>746089</v>
      </c>
      <c r="I181" s="26">
        <v>11.46</v>
      </c>
      <c r="J181" s="11">
        <v>5169041</v>
      </c>
      <c r="K181" s="41"/>
      <c r="L181" s="11">
        <v>12.843</v>
      </c>
      <c r="M181" s="11">
        <v>3801716</v>
      </c>
      <c r="O181" s="26">
        <v>16.297000000000001</v>
      </c>
      <c r="P181" s="11">
        <v>1761022</v>
      </c>
      <c r="Q181" s="44"/>
      <c r="T181" s="3"/>
      <c r="U181" s="11">
        <v>18.373000000000001</v>
      </c>
      <c r="V181" s="11">
        <v>487335</v>
      </c>
      <c r="W181" s="14"/>
      <c r="X181" s="11">
        <v>19.34</v>
      </c>
      <c r="Y181" s="11">
        <v>1905509</v>
      </c>
      <c r="Z181" s="49"/>
      <c r="AC181" s="3"/>
    </row>
    <row r="182" spans="1:29" ht="15.75" customHeight="1">
      <c r="A182" s="2" t="s">
        <v>238</v>
      </c>
      <c r="B182" s="37" t="s">
        <v>84</v>
      </c>
      <c r="C182" s="11">
        <v>8.2070000000000007</v>
      </c>
      <c r="D182" s="11">
        <v>1386300</v>
      </c>
      <c r="E182" s="30"/>
      <c r="F182" s="11">
        <v>10.803000000000001</v>
      </c>
      <c r="G182" s="11">
        <v>712804</v>
      </c>
      <c r="I182" s="26">
        <v>11.45</v>
      </c>
      <c r="J182" s="11">
        <v>4415456</v>
      </c>
      <c r="K182" s="41"/>
      <c r="L182" s="11">
        <v>12.843</v>
      </c>
      <c r="M182" s="11">
        <v>3483471</v>
      </c>
      <c r="O182" s="26">
        <v>16.286999999999999</v>
      </c>
      <c r="P182" s="11">
        <v>1330177</v>
      </c>
      <c r="Q182" s="44"/>
      <c r="T182" s="3"/>
      <c r="U182" s="11">
        <v>18.420000000000002</v>
      </c>
      <c r="V182" s="11">
        <v>125093</v>
      </c>
      <c r="W182" s="14"/>
      <c r="Z182" s="49"/>
      <c r="AA182" s="11">
        <v>19.766999999999999</v>
      </c>
      <c r="AB182" s="11">
        <v>1013592</v>
      </c>
      <c r="AC182" s="3"/>
    </row>
    <row r="183" spans="1:29" ht="15.75" customHeight="1">
      <c r="A183" s="2" t="s">
        <v>239</v>
      </c>
      <c r="B183" s="37" t="s">
        <v>88</v>
      </c>
      <c r="C183" s="11">
        <v>8.17</v>
      </c>
      <c r="D183" s="11">
        <v>1206247</v>
      </c>
      <c r="E183" s="30"/>
      <c r="F183" s="11">
        <v>10.8</v>
      </c>
      <c r="G183" s="11">
        <v>377003</v>
      </c>
      <c r="I183" s="26">
        <v>11.44</v>
      </c>
      <c r="J183" s="11">
        <v>4208833</v>
      </c>
      <c r="K183" s="41"/>
      <c r="L183" s="11">
        <v>12.837</v>
      </c>
      <c r="M183" s="11">
        <v>2492774</v>
      </c>
      <c r="O183" s="26">
        <v>16.286999999999999</v>
      </c>
      <c r="P183" s="11">
        <v>1494504</v>
      </c>
      <c r="Q183" s="44"/>
      <c r="T183" s="3"/>
      <c r="U183" s="11">
        <v>18.922999999999998</v>
      </c>
      <c r="V183" s="11">
        <v>355770</v>
      </c>
      <c r="W183" s="14"/>
      <c r="Z183" s="49"/>
      <c r="AA183" s="11">
        <v>19.902999999999999</v>
      </c>
      <c r="AB183" s="11">
        <v>148400</v>
      </c>
      <c r="AC183" s="3"/>
    </row>
    <row r="184" spans="1:29" ht="15.75" customHeight="1">
      <c r="A184" s="2" t="s">
        <v>240</v>
      </c>
      <c r="B184" s="37" t="s">
        <v>88</v>
      </c>
      <c r="C184" s="11">
        <v>8.173</v>
      </c>
      <c r="D184" s="11">
        <v>1004961</v>
      </c>
      <c r="E184" s="30"/>
      <c r="F184" s="11">
        <v>10.8</v>
      </c>
      <c r="G184" s="11">
        <v>355217</v>
      </c>
      <c r="I184" s="26">
        <v>11.44</v>
      </c>
      <c r="J184" s="11">
        <v>4295446</v>
      </c>
      <c r="K184" s="41"/>
      <c r="L184" s="11">
        <v>12.837</v>
      </c>
      <c r="M184" s="11">
        <v>2361009</v>
      </c>
      <c r="O184" s="26">
        <v>16.286999999999999</v>
      </c>
      <c r="P184" s="11">
        <v>1328919</v>
      </c>
      <c r="Q184" s="44"/>
      <c r="T184" s="3"/>
      <c r="U184" s="11">
        <v>18.927</v>
      </c>
      <c r="V184" s="11">
        <v>292296</v>
      </c>
      <c r="W184" s="14"/>
      <c r="Z184" s="49"/>
      <c r="AA184" s="11">
        <v>19.89</v>
      </c>
      <c r="AB184" s="11">
        <v>143381</v>
      </c>
      <c r="AC184" s="3"/>
    </row>
    <row r="185" spans="1:29" ht="15.75" customHeight="1">
      <c r="A185" s="2" t="s">
        <v>241</v>
      </c>
      <c r="B185" s="37" t="s">
        <v>88</v>
      </c>
      <c r="C185" s="11">
        <v>8.1769999999999996</v>
      </c>
      <c r="D185" s="11">
        <v>1168344</v>
      </c>
      <c r="E185" s="30"/>
      <c r="F185" s="11">
        <v>10.807</v>
      </c>
      <c r="G185" s="11">
        <v>414861</v>
      </c>
      <c r="I185" s="26">
        <v>11.44</v>
      </c>
      <c r="J185" s="11">
        <v>3866371</v>
      </c>
      <c r="K185" s="41"/>
      <c r="L185" s="11">
        <v>12.837</v>
      </c>
      <c r="M185" s="11">
        <v>2634753</v>
      </c>
      <c r="O185" s="26">
        <v>16.283000000000001</v>
      </c>
      <c r="P185" s="11">
        <v>1330306</v>
      </c>
      <c r="Q185" s="44"/>
      <c r="T185" s="3"/>
      <c r="U185" s="11">
        <v>18.91</v>
      </c>
      <c r="V185" s="11">
        <v>262987</v>
      </c>
      <c r="W185" s="14"/>
      <c r="Z185" s="49"/>
      <c r="AA185" s="11">
        <v>19.882999999999999</v>
      </c>
      <c r="AB185" s="11">
        <v>169800</v>
      </c>
      <c r="AC185" s="3"/>
    </row>
    <row r="186" spans="1:29" ht="15.75" customHeight="1">
      <c r="A186" s="2" t="s">
        <v>242</v>
      </c>
      <c r="B186" s="37" t="s">
        <v>92</v>
      </c>
      <c r="C186" s="11">
        <v>8.17</v>
      </c>
      <c r="D186" s="11">
        <v>1326168</v>
      </c>
      <c r="E186" s="30"/>
      <c r="F186" s="11">
        <v>10.79</v>
      </c>
      <c r="G186" s="11">
        <v>599378</v>
      </c>
      <c r="I186" s="26">
        <v>11.446999999999999</v>
      </c>
      <c r="J186" s="11">
        <v>5696765</v>
      </c>
      <c r="K186" s="41"/>
      <c r="L186" s="11">
        <v>12.843</v>
      </c>
      <c r="M186" s="11">
        <v>3529501</v>
      </c>
      <c r="O186" s="26">
        <v>16.28</v>
      </c>
      <c r="P186" s="11">
        <v>1625748</v>
      </c>
      <c r="Q186" s="44"/>
      <c r="T186" s="3"/>
      <c r="U186" s="11">
        <v>18.867000000000001</v>
      </c>
      <c r="V186" s="11">
        <v>394532</v>
      </c>
      <c r="W186" s="14"/>
      <c r="Z186" s="49"/>
      <c r="AA186" s="11">
        <v>19.88</v>
      </c>
      <c r="AB186" s="11">
        <v>152908</v>
      </c>
      <c r="AC186" s="3"/>
    </row>
    <row r="187" spans="1:29" ht="15.75" customHeight="1">
      <c r="A187" s="2" t="s">
        <v>243</v>
      </c>
      <c r="B187" s="37" t="s">
        <v>92</v>
      </c>
      <c r="C187" s="11">
        <v>8.173</v>
      </c>
      <c r="D187" s="11">
        <v>1097555</v>
      </c>
      <c r="E187" s="30"/>
      <c r="F187" s="11">
        <v>10.79</v>
      </c>
      <c r="G187" s="11">
        <v>512533</v>
      </c>
      <c r="I187" s="26">
        <v>11.436999999999999</v>
      </c>
      <c r="J187" s="11">
        <v>4788598</v>
      </c>
      <c r="K187" s="41"/>
      <c r="L187" s="11">
        <v>12.84</v>
      </c>
      <c r="M187" s="11">
        <v>2945739</v>
      </c>
      <c r="O187" s="26">
        <v>16.283000000000001</v>
      </c>
      <c r="P187" s="11">
        <v>1468060</v>
      </c>
      <c r="Q187" s="44"/>
      <c r="T187" s="3"/>
      <c r="U187" s="11">
        <v>18.876999999999999</v>
      </c>
      <c r="V187" s="11">
        <v>449343</v>
      </c>
      <c r="W187" s="14"/>
      <c r="Z187" s="49"/>
      <c r="AA187" s="11">
        <v>19.876999999999999</v>
      </c>
      <c r="AB187" s="11">
        <v>123491</v>
      </c>
      <c r="AC187" s="3"/>
    </row>
    <row r="188" spans="1:29" ht="15.75" customHeight="1">
      <c r="A188" s="2" t="s">
        <v>244</v>
      </c>
      <c r="B188" s="37" t="s">
        <v>92</v>
      </c>
      <c r="C188" s="11">
        <v>8.1769999999999996</v>
      </c>
      <c r="D188" s="11">
        <v>1300341</v>
      </c>
      <c r="E188" s="30"/>
      <c r="F188" s="11">
        <v>10.79</v>
      </c>
      <c r="G188" s="11">
        <v>629260</v>
      </c>
      <c r="I188" s="26">
        <v>11.446999999999999</v>
      </c>
      <c r="J188" s="11">
        <v>6073994</v>
      </c>
      <c r="K188" s="41"/>
      <c r="L188" s="11">
        <v>12.843</v>
      </c>
      <c r="M188" s="11">
        <v>3735278</v>
      </c>
      <c r="O188" s="26">
        <v>16.28</v>
      </c>
      <c r="P188" s="11">
        <v>1639748</v>
      </c>
      <c r="Q188" s="44"/>
      <c r="T188" s="3"/>
      <c r="U188" s="11">
        <v>18.853000000000002</v>
      </c>
      <c r="V188" s="11">
        <v>325872</v>
      </c>
      <c r="W188" s="14"/>
      <c r="Z188" s="49"/>
      <c r="AA188" s="11">
        <v>19.88</v>
      </c>
      <c r="AB188" s="11">
        <v>142859</v>
      </c>
      <c r="AC188" s="3"/>
    </row>
    <row r="189" spans="1:29" ht="15.75" customHeight="1">
      <c r="A189" s="2" t="s">
        <v>245</v>
      </c>
      <c r="B189" s="37" t="s">
        <v>96</v>
      </c>
      <c r="C189" s="11">
        <v>8.17</v>
      </c>
      <c r="D189" s="11">
        <v>1625323</v>
      </c>
      <c r="E189" s="30"/>
      <c r="F189" s="11">
        <v>10.8</v>
      </c>
      <c r="G189" s="11">
        <v>638618</v>
      </c>
      <c r="I189" s="26">
        <v>11.452999999999999</v>
      </c>
      <c r="J189" s="11">
        <v>5745414</v>
      </c>
      <c r="K189" s="41"/>
      <c r="L189" s="11">
        <v>12.843</v>
      </c>
      <c r="M189" s="11">
        <v>4123392</v>
      </c>
      <c r="O189" s="26">
        <v>16.277000000000001</v>
      </c>
      <c r="P189" s="11">
        <v>1541260</v>
      </c>
      <c r="Q189" s="44"/>
      <c r="T189" s="3"/>
      <c r="U189" s="11">
        <v>18.867000000000001</v>
      </c>
      <c r="V189" s="11">
        <v>424804</v>
      </c>
      <c r="W189" s="14"/>
      <c r="Z189" s="49"/>
      <c r="AA189" s="11">
        <v>19.847000000000001</v>
      </c>
      <c r="AB189" s="11">
        <v>388518</v>
      </c>
      <c r="AC189" s="3"/>
    </row>
    <row r="190" spans="1:29" ht="15.75" customHeight="1">
      <c r="A190" s="2" t="s">
        <v>246</v>
      </c>
      <c r="B190" s="37" t="s">
        <v>96</v>
      </c>
      <c r="C190" s="11">
        <v>8.1669999999999998</v>
      </c>
      <c r="D190" s="11">
        <v>1726633</v>
      </c>
      <c r="E190" s="30"/>
      <c r="F190" s="11">
        <v>10.8</v>
      </c>
      <c r="G190" s="11">
        <v>672511</v>
      </c>
      <c r="I190" s="26">
        <v>11.46</v>
      </c>
      <c r="J190" s="11">
        <v>7106066</v>
      </c>
      <c r="K190" s="41"/>
      <c r="L190" s="11">
        <v>12.843</v>
      </c>
      <c r="M190" s="11">
        <v>4210229</v>
      </c>
      <c r="O190" s="26">
        <v>16.277000000000001</v>
      </c>
      <c r="P190" s="11">
        <v>1615556</v>
      </c>
      <c r="Q190" s="44"/>
      <c r="T190" s="3"/>
      <c r="U190" s="11">
        <v>18.873000000000001</v>
      </c>
      <c r="V190" s="11">
        <v>451454</v>
      </c>
      <c r="W190" s="14"/>
      <c r="Z190" s="49"/>
      <c r="AA190" s="11">
        <v>19.847000000000001</v>
      </c>
      <c r="AB190" s="11">
        <v>427272</v>
      </c>
      <c r="AC190" s="3"/>
    </row>
    <row r="191" spans="1:29" ht="15.75" customHeight="1">
      <c r="A191" s="2" t="s">
        <v>247</v>
      </c>
      <c r="B191" s="37" t="s">
        <v>96</v>
      </c>
      <c r="C191" s="11">
        <v>8.17</v>
      </c>
      <c r="D191" s="11">
        <v>2324574</v>
      </c>
      <c r="E191" s="30"/>
      <c r="F191" s="11">
        <v>10.807</v>
      </c>
      <c r="G191" s="11">
        <v>851156</v>
      </c>
      <c r="I191" s="26">
        <v>11.477</v>
      </c>
      <c r="J191" s="11">
        <v>7798732</v>
      </c>
      <c r="K191" s="41"/>
      <c r="L191" s="11">
        <v>12.85</v>
      </c>
      <c r="M191" s="11">
        <v>4807652</v>
      </c>
      <c r="O191" s="26">
        <v>16.277000000000001</v>
      </c>
      <c r="P191" s="11">
        <v>1989011</v>
      </c>
      <c r="Q191" s="44"/>
      <c r="T191" s="3"/>
      <c r="U191" s="11">
        <v>18.887</v>
      </c>
      <c r="V191" s="11">
        <v>294900</v>
      </c>
      <c r="W191" s="14"/>
      <c r="Z191" s="49"/>
      <c r="AA191" s="11">
        <v>19.853000000000002</v>
      </c>
      <c r="AB191" s="11">
        <v>374635</v>
      </c>
      <c r="AC191" s="3"/>
    </row>
    <row r="192" spans="1:29" ht="15.75" customHeight="1">
      <c r="A192" s="2" t="s">
        <v>248</v>
      </c>
      <c r="B192" s="37" t="s">
        <v>100</v>
      </c>
      <c r="C192" s="11">
        <v>8.17</v>
      </c>
      <c r="D192" s="11">
        <v>1072516</v>
      </c>
      <c r="E192" s="30"/>
      <c r="F192" s="11">
        <v>10.79</v>
      </c>
      <c r="G192" s="11">
        <v>542464</v>
      </c>
      <c r="I192" s="26">
        <v>11.443</v>
      </c>
      <c r="J192" s="11">
        <v>6117968</v>
      </c>
      <c r="K192" s="41"/>
      <c r="L192" s="11">
        <v>12.837</v>
      </c>
      <c r="M192" s="11">
        <v>2931225</v>
      </c>
      <c r="O192" s="26">
        <v>16.277000000000001</v>
      </c>
      <c r="P192" s="11">
        <v>989639</v>
      </c>
      <c r="Q192" s="44"/>
      <c r="T192" s="3"/>
      <c r="U192" s="11">
        <v>18.827000000000002</v>
      </c>
      <c r="V192" s="11">
        <v>1852</v>
      </c>
      <c r="W192" s="14"/>
      <c r="X192" s="11">
        <v>19.356999999999999</v>
      </c>
      <c r="Y192" s="11">
        <v>305885</v>
      </c>
      <c r="Z192" s="49"/>
      <c r="AC192" s="3"/>
    </row>
    <row r="193" spans="1:29" ht="15.75" customHeight="1">
      <c r="A193" s="2" t="s">
        <v>249</v>
      </c>
      <c r="B193" s="37" t="s">
        <v>100</v>
      </c>
      <c r="C193" s="11">
        <v>8.18</v>
      </c>
      <c r="D193" s="11">
        <v>1243966</v>
      </c>
      <c r="E193" s="30"/>
      <c r="F193" s="11">
        <v>10.792999999999999</v>
      </c>
      <c r="G193" s="11">
        <v>716344</v>
      </c>
      <c r="I193" s="26">
        <v>11.452999999999999</v>
      </c>
      <c r="J193" s="11">
        <v>7535268</v>
      </c>
      <c r="K193" s="41"/>
      <c r="L193" s="11">
        <v>12.843</v>
      </c>
      <c r="M193" s="11">
        <v>3445382</v>
      </c>
      <c r="O193" s="26">
        <v>16.277000000000001</v>
      </c>
      <c r="P193" s="11">
        <v>1520803</v>
      </c>
      <c r="Q193" s="44"/>
      <c r="T193" s="3"/>
      <c r="U193" s="11">
        <v>18.837</v>
      </c>
      <c r="V193" s="11">
        <v>139848</v>
      </c>
      <c r="W193" s="14"/>
      <c r="Z193" s="49"/>
      <c r="AA193" s="11">
        <v>19.887</v>
      </c>
      <c r="AB193" s="11">
        <v>239132</v>
      </c>
      <c r="AC193" s="3"/>
    </row>
    <row r="194" spans="1:29" ht="15.75" customHeight="1">
      <c r="A194" s="2" t="s">
        <v>250</v>
      </c>
      <c r="B194" s="37" t="s">
        <v>100</v>
      </c>
      <c r="C194" s="11">
        <v>8.17</v>
      </c>
      <c r="D194" s="11">
        <v>1458733</v>
      </c>
      <c r="E194" s="30"/>
      <c r="F194" s="11">
        <v>10.782999999999999</v>
      </c>
      <c r="G194" s="11">
        <v>668379</v>
      </c>
      <c r="I194" s="26">
        <v>11.446999999999999</v>
      </c>
      <c r="J194" s="11">
        <v>7331039</v>
      </c>
      <c r="K194" s="41"/>
      <c r="L194" s="11">
        <v>12.837</v>
      </c>
      <c r="M194" s="11">
        <v>3169650</v>
      </c>
      <c r="O194" s="26">
        <v>16.273</v>
      </c>
      <c r="P194" s="11">
        <v>1636235</v>
      </c>
      <c r="Q194" s="44"/>
      <c r="T194" s="3"/>
      <c r="U194" s="11">
        <v>18.84</v>
      </c>
      <c r="V194" s="11">
        <v>164549</v>
      </c>
      <c r="W194" s="14"/>
      <c r="X194" s="11">
        <v>19.347000000000001</v>
      </c>
      <c r="Y194" s="11">
        <v>278914</v>
      </c>
      <c r="Z194" s="49"/>
      <c r="AC194" s="3"/>
    </row>
    <row r="195" spans="1:29" ht="15.75" customHeight="1">
      <c r="A195" s="2" t="s">
        <v>251</v>
      </c>
      <c r="B195" s="37" t="s">
        <v>104</v>
      </c>
      <c r="C195" s="11">
        <v>8.1869999999999994</v>
      </c>
      <c r="D195" s="11">
        <v>1254735</v>
      </c>
      <c r="E195" s="30"/>
      <c r="F195" s="11">
        <v>10.782999999999999</v>
      </c>
      <c r="G195" s="11">
        <v>571761</v>
      </c>
      <c r="I195" s="26">
        <v>11.46</v>
      </c>
      <c r="J195" s="11">
        <v>7821291</v>
      </c>
      <c r="K195" s="41"/>
      <c r="L195" s="11">
        <v>12.843</v>
      </c>
      <c r="M195" s="11">
        <v>3242065</v>
      </c>
      <c r="O195" s="26">
        <v>16.277000000000001</v>
      </c>
      <c r="P195" s="11">
        <v>1779597</v>
      </c>
      <c r="Q195" s="44"/>
      <c r="T195" s="3"/>
      <c r="U195" s="11">
        <v>18.832999999999998</v>
      </c>
      <c r="V195" s="11">
        <v>68094</v>
      </c>
      <c r="W195" s="14"/>
      <c r="Z195" s="49"/>
      <c r="AA195" s="11">
        <v>19.913</v>
      </c>
      <c r="AB195" s="11">
        <v>134906</v>
      </c>
      <c r="AC195" s="3"/>
    </row>
    <row r="196" spans="1:29" ht="15.75" customHeight="1">
      <c r="A196" s="2" t="s">
        <v>252</v>
      </c>
      <c r="B196" s="37" t="s">
        <v>104</v>
      </c>
      <c r="C196" s="11">
        <v>8.1769999999999996</v>
      </c>
      <c r="D196" s="11">
        <v>1202579</v>
      </c>
      <c r="E196" s="30"/>
      <c r="F196" s="11">
        <v>10.797000000000001</v>
      </c>
      <c r="G196" s="11">
        <v>583447</v>
      </c>
      <c r="I196" s="26">
        <v>11.452999999999999</v>
      </c>
      <c r="J196" s="11">
        <v>6886237</v>
      </c>
      <c r="K196" s="41"/>
      <c r="L196" s="11">
        <v>12.843</v>
      </c>
      <c r="M196" s="11">
        <v>3343400</v>
      </c>
      <c r="O196" s="26">
        <v>16.283000000000001</v>
      </c>
      <c r="P196" s="11">
        <v>1534325</v>
      </c>
      <c r="Q196" s="44"/>
      <c r="T196" s="3"/>
      <c r="U196" s="11">
        <v>18.847000000000001</v>
      </c>
      <c r="V196" s="11">
        <v>67052</v>
      </c>
      <c r="W196" s="14"/>
      <c r="Z196" s="49"/>
      <c r="AA196" s="11">
        <v>19.920000000000002</v>
      </c>
      <c r="AB196" s="11">
        <v>101632</v>
      </c>
      <c r="AC196" s="3"/>
    </row>
    <row r="197" spans="1:29" ht="15.75" customHeight="1">
      <c r="A197" s="2" t="s">
        <v>253</v>
      </c>
      <c r="B197" s="37" t="s">
        <v>104</v>
      </c>
      <c r="C197" s="11">
        <v>8.1829999999999998</v>
      </c>
      <c r="D197" s="11">
        <v>1274286</v>
      </c>
      <c r="E197" s="30"/>
      <c r="F197" s="11">
        <v>10.787000000000001</v>
      </c>
      <c r="G197" s="11">
        <v>625759</v>
      </c>
      <c r="I197" s="26">
        <v>11.45</v>
      </c>
      <c r="J197" s="11">
        <v>6667296</v>
      </c>
      <c r="K197" s="41"/>
      <c r="L197" s="11">
        <v>12.843</v>
      </c>
      <c r="M197" s="11">
        <v>3318560</v>
      </c>
      <c r="O197" s="26">
        <v>16.28</v>
      </c>
      <c r="P197" s="11">
        <v>1820781</v>
      </c>
      <c r="Q197" s="44"/>
      <c r="T197" s="3"/>
      <c r="U197" s="11">
        <v>18.850000000000001</v>
      </c>
      <c r="V197" s="11">
        <v>107250</v>
      </c>
      <c r="W197" s="14"/>
      <c r="Z197" s="49"/>
      <c r="AA197" s="11">
        <v>19.917000000000002</v>
      </c>
      <c r="AB197" s="11">
        <v>134969</v>
      </c>
      <c r="AC197" s="3"/>
    </row>
    <row r="198" spans="1:29" ht="15.75" customHeight="1">
      <c r="A198" s="2" t="s">
        <v>254</v>
      </c>
      <c r="B198" s="37" t="s">
        <v>108</v>
      </c>
      <c r="C198" s="11">
        <v>8.1769999999999996</v>
      </c>
      <c r="D198" s="11">
        <v>1293517</v>
      </c>
      <c r="E198" s="30"/>
      <c r="F198" s="11">
        <v>10.792999999999999</v>
      </c>
      <c r="G198" s="11">
        <v>619041</v>
      </c>
      <c r="I198" s="26">
        <v>11.446999999999999</v>
      </c>
      <c r="J198" s="11">
        <v>6104575</v>
      </c>
      <c r="K198" s="41"/>
      <c r="L198" s="11">
        <v>12.84</v>
      </c>
      <c r="M198" s="11">
        <v>3389018</v>
      </c>
      <c r="O198" s="26">
        <v>16.273</v>
      </c>
      <c r="P198" s="11">
        <v>1477217</v>
      </c>
      <c r="Q198" s="44"/>
      <c r="T198" s="3"/>
      <c r="U198" s="11">
        <v>18.856999999999999</v>
      </c>
      <c r="V198" s="11">
        <v>212207</v>
      </c>
      <c r="W198" s="14"/>
      <c r="Z198" s="49"/>
      <c r="AA198" s="11">
        <v>19.913</v>
      </c>
      <c r="AB198" s="11">
        <v>257199</v>
      </c>
      <c r="AC198" s="3"/>
    </row>
    <row r="199" spans="1:29" ht="15.75" customHeight="1">
      <c r="A199" s="2" t="s">
        <v>255</v>
      </c>
      <c r="B199" s="37" t="s">
        <v>108</v>
      </c>
      <c r="C199" s="11">
        <v>8.1869999999999994</v>
      </c>
      <c r="D199" s="11">
        <v>1185752</v>
      </c>
      <c r="E199" s="30"/>
      <c r="F199" s="11">
        <v>10.792999999999999</v>
      </c>
      <c r="G199" s="11">
        <v>483695</v>
      </c>
      <c r="I199" s="26">
        <v>11.45</v>
      </c>
      <c r="J199" s="11">
        <v>5950315</v>
      </c>
      <c r="K199" s="41"/>
      <c r="L199" s="11">
        <v>12.84</v>
      </c>
      <c r="M199" s="11">
        <v>3371382</v>
      </c>
      <c r="O199" s="26">
        <v>16.273</v>
      </c>
      <c r="P199" s="11">
        <v>1335535</v>
      </c>
      <c r="Q199" s="44"/>
      <c r="T199" s="3"/>
      <c r="U199" s="11">
        <v>18.856999999999999</v>
      </c>
      <c r="V199" s="11">
        <v>170335</v>
      </c>
      <c r="W199" s="14"/>
      <c r="Z199" s="49"/>
      <c r="AA199" s="11">
        <v>19.93</v>
      </c>
      <c r="AB199" s="11">
        <v>288561</v>
      </c>
      <c r="AC199" s="3"/>
    </row>
    <row r="200" spans="1:29" ht="15.75" customHeight="1">
      <c r="A200" s="2" t="s">
        <v>256</v>
      </c>
      <c r="B200" s="37" t="s">
        <v>108</v>
      </c>
      <c r="C200" s="11">
        <v>8.18</v>
      </c>
      <c r="D200" s="11">
        <v>1196489</v>
      </c>
      <c r="E200" s="30"/>
      <c r="F200" s="11">
        <v>10.79</v>
      </c>
      <c r="G200" s="11">
        <v>463866</v>
      </c>
      <c r="I200" s="26">
        <v>11.443</v>
      </c>
      <c r="J200" s="11">
        <v>5305329</v>
      </c>
      <c r="K200" s="41"/>
      <c r="L200" s="11">
        <v>12.84</v>
      </c>
      <c r="M200" s="11">
        <v>3051971</v>
      </c>
      <c r="O200" s="26">
        <v>16.266999999999999</v>
      </c>
      <c r="P200" s="11">
        <v>1418970</v>
      </c>
      <c r="Q200" s="44"/>
      <c r="T200" s="3"/>
      <c r="U200" s="11">
        <v>18.856999999999999</v>
      </c>
      <c r="V200" s="11">
        <v>208477</v>
      </c>
      <c r="W200" s="14"/>
      <c r="Z200" s="49"/>
      <c r="AA200" s="11">
        <v>19.933</v>
      </c>
      <c r="AB200" s="11">
        <v>204860</v>
      </c>
      <c r="AC200" s="3"/>
    </row>
    <row r="201" spans="1:29" ht="15.75" customHeight="1">
      <c r="A201" s="2" t="s">
        <v>257</v>
      </c>
      <c r="B201" s="37" t="s">
        <v>112</v>
      </c>
      <c r="C201" s="11">
        <v>8.17</v>
      </c>
      <c r="D201" s="11">
        <v>1739947</v>
      </c>
      <c r="E201" s="30"/>
      <c r="F201" s="11">
        <v>10.803000000000001</v>
      </c>
      <c r="G201" s="11">
        <v>461105</v>
      </c>
      <c r="I201" s="26">
        <v>11.457000000000001</v>
      </c>
      <c r="J201" s="11">
        <v>6044298</v>
      </c>
      <c r="K201" s="41"/>
      <c r="L201" s="11">
        <v>12.843</v>
      </c>
      <c r="M201" s="11">
        <v>3787942</v>
      </c>
      <c r="O201" s="26">
        <v>16.263000000000002</v>
      </c>
      <c r="P201" s="11">
        <v>1248654</v>
      </c>
      <c r="Q201" s="44"/>
      <c r="T201" s="3"/>
      <c r="U201" s="11">
        <v>18.920000000000002</v>
      </c>
      <c r="V201" s="11">
        <v>90633</v>
      </c>
      <c r="W201" s="14"/>
      <c r="Z201" s="49"/>
      <c r="AA201" s="11">
        <v>19.922999999999998</v>
      </c>
      <c r="AB201" s="11">
        <v>289417</v>
      </c>
      <c r="AC201" s="3"/>
    </row>
    <row r="202" spans="1:29" ht="15.75" customHeight="1">
      <c r="A202" s="2" t="s">
        <v>258</v>
      </c>
      <c r="B202" s="37" t="s">
        <v>112</v>
      </c>
      <c r="C202" s="11">
        <v>8.17</v>
      </c>
      <c r="D202" s="11">
        <v>1010716</v>
      </c>
      <c r="E202" s="30"/>
      <c r="F202" s="11">
        <v>10.807</v>
      </c>
      <c r="G202" s="11">
        <v>344697</v>
      </c>
      <c r="I202" s="26">
        <v>11.44</v>
      </c>
      <c r="J202" s="11">
        <v>3583028</v>
      </c>
      <c r="K202" s="41"/>
      <c r="L202" s="11">
        <v>12.84</v>
      </c>
      <c r="M202" s="11">
        <v>2558261</v>
      </c>
      <c r="O202" s="26">
        <v>16.292999999999999</v>
      </c>
      <c r="P202" s="11">
        <v>677546</v>
      </c>
      <c r="Q202" s="44"/>
      <c r="T202" s="3"/>
      <c r="U202" s="11">
        <v>18.492999999999999</v>
      </c>
      <c r="V202" s="11">
        <v>15997</v>
      </c>
      <c r="W202" s="14"/>
      <c r="Z202" s="49"/>
      <c r="AA202" s="11">
        <v>19.927</v>
      </c>
      <c r="AB202" s="11">
        <v>368947</v>
      </c>
      <c r="AC202" s="3"/>
    </row>
    <row r="203" spans="1:29" ht="15.75" customHeight="1">
      <c r="A203" s="2" t="s">
        <v>259</v>
      </c>
      <c r="B203" s="37" t="s">
        <v>112</v>
      </c>
      <c r="C203" s="11">
        <v>8.17</v>
      </c>
      <c r="D203" s="11">
        <v>823696</v>
      </c>
      <c r="E203" s="30"/>
      <c r="F203" s="11">
        <v>10.807</v>
      </c>
      <c r="G203" s="11">
        <v>313290</v>
      </c>
      <c r="I203" s="26">
        <v>11.44</v>
      </c>
      <c r="J203" s="11">
        <v>3730547</v>
      </c>
      <c r="K203" s="41"/>
      <c r="L203" s="11">
        <v>12.837</v>
      </c>
      <c r="M203" s="11">
        <v>2207862</v>
      </c>
      <c r="O203" s="26">
        <v>16.309999999999999</v>
      </c>
      <c r="P203" s="11">
        <v>1014312</v>
      </c>
      <c r="Q203" s="44"/>
      <c r="T203" s="3"/>
      <c r="U203" s="11">
        <v>18.943000000000001</v>
      </c>
      <c r="V203" s="11">
        <v>283930</v>
      </c>
      <c r="W203" s="14"/>
      <c r="Z203" s="49"/>
      <c r="AA203" s="11">
        <v>19.937000000000001</v>
      </c>
      <c r="AB203" s="11">
        <v>343787</v>
      </c>
      <c r="AC203" s="3"/>
    </row>
    <row r="204" spans="1:29" ht="15.75" customHeight="1">
      <c r="A204" s="2" t="s">
        <v>260</v>
      </c>
      <c r="B204" s="37" t="s">
        <v>116</v>
      </c>
      <c r="C204" s="11">
        <v>8.1769999999999996</v>
      </c>
      <c r="D204" s="11">
        <v>1528666</v>
      </c>
      <c r="E204" s="30"/>
      <c r="F204" s="11">
        <v>10.817</v>
      </c>
      <c r="G204" s="11">
        <v>502552</v>
      </c>
      <c r="I204" s="26">
        <v>11.48</v>
      </c>
      <c r="J204" s="11">
        <v>6532439</v>
      </c>
      <c r="K204" s="41"/>
      <c r="L204" s="11">
        <v>12.847</v>
      </c>
      <c r="M204" s="11">
        <v>3257087</v>
      </c>
      <c r="O204" s="26">
        <v>16.32</v>
      </c>
      <c r="P204" s="11">
        <v>1202732</v>
      </c>
      <c r="Q204" s="44"/>
      <c r="T204" s="3"/>
      <c r="U204" s="11">
        <v>18.46</v>
      </c>
      <c r="V204" s="11">
        <v>229670</v>
      </c>
      <c r="W204" s="14"/>
      <c r="X204" s="11">
        <v>19.350000000000001</v>
      </c>
      <c r="Y204" s="11">
        <v>887888</v>
      </c>
      <c r="Z204" s="49"/>
      <c r="AC204" s="3"/>
    </row>
    <row r="205" spans="1:29" ht="15.75" customHeight="1">
      <c r="A205" s="2" t="s">
        <v>261</v>
      </c>
      <c r="B205" s="37" t="s">
        <v>116</v>
      </c>
      <c r="C205" s="11">
        <v>8.1869999999999994</v>
      </c>
      <c r="D205" s="11">
        <v>1365636</v>
      </c>
      <c r="E205" s="30"/>
      <c r="F205" s="11">
        <v>10.817</v>
      </c>
      <c r="G205" s="11">
        <v>550410</v>
      </c>
      <c r="I205" s="26">
        <v>11.462999999999999</v>
      </c>
      <c r="J205" s="11">
        <v>4552767</v>
      </c>
      <c r="K205" s="41"/>
      <c r="L205" s="11">
        <v>12.843</v>
      </c>
      <c r="M205" s="11">
        <v>3066471</v>
      </c>
      <c r="O205" s="26">
        <v>16.323</v>
      </c>
      <c r="P205" s="11">
        <v>1289893</v>
      </c>
      <c r="Q205" s="44"/>
      <c r="T205" s="3"/>
      <c r="U205" s="11">
        <v>18.43</v>
      </c>
      <c r="V205" s="11">
        <v>342329</v>
      </c>
      <c r="W205" s="14"/>
      <c r="X205" s="11">
        <v>19.350000000000001</v>
      </c>
      <c r="Y205" s="11">
        <v>1040204</v>
      </c>
      <c r="Z205" s="49"/>
      <c r="AC205" s="3"/>
    </row>
    <row r="206" spans="1:29" ht="15.75" customHeight="1">
      <c r="A206" s="2" t="s">
        <v>262</v>
      </c>
      <c r="B206" s="37" t="s">
        <v>116</v>
      </c>
      <c r="C206" s="11">
        <v>8.1929999999999996</v>
      </c>
      <c r="D206" s="11">
        <v>1542842</v>
      </c>
      <c r="E206" s="30"/>
      <c r="F206" s="11">
        <v>10.82</v>
      </c>
      <c r="G206" s="11">
        <v>628043</v>
      </c>
      <c r="I206" s="26">
        <v>11.47</v>
      </c>
      <c r="J206" s="11">
        <v>5092554</v>
      </c>
      <c r="K206" s="41"/>
      <c r="L206" s="11">
        <v>12.85</v>
      </c>
      <c r="M206" s="11">
        <v>3187946</v>
      </c>
      <c r="O206" s="26">
        <v>16.332999999999998</v>
      </c>
      <c r="P206" s="11">
        <v>1405652</v>
      </c>
      <c r="Q206" s="44"/>
      <c r="T206" s="3"/>
      <c r="U206" s="11">
        <v>18.452999999999999</v>
      </c>
      <c r="V206" s="11">
        <v>486845</v>
      </c>
      <c r="W206" s="14"/>
      <c r="X206" s="11">
        <v>19.350000000000001</v>
      </c>
      <c r="Y206" s="11">
        <v>1235578</v>
      </c>
      <c r="Z206" s="49"/>
      <c r="AC206" s="3"/>
    </row>
    <row r="207" spans="1:29" ht="15.75" customHeight="1">
      <c r="A207" s="2" t="s">
        <v>263</v>
      </c>
      <c r="B207" s="37" t="s">
        <v>120</v>
      </c>
      <c r="C207" s="11">
        <v>8.18</v>
      </c>
      <c r="D207" s="11">
        <v>1564554</v>
      </c>
      <c r="E207" s="30"/>
      <c r="F207" s="11">
        <v>10.813000000000001</v>
      </c>
      <c r="G207" s="11">
        <v>723781</v>
      </c>
      <c r="I207" s="26">
        <v>11.47</v>
      </c>
      <c r="J207" s="11">
        <v>5555005</v>
      </c>
      <c r="K207" s="41"/>
      <c r="L207" s="11">
        <v>12.84</v>
      </c>
      <c r="M207" s="11">
        <v>2567179</v>
      </c>
      <c r="O207" s="26">
        <v>16.337</v>
      </c>
      <c r="P207" s="11">
        <v>1271507</v>
      </c>
      <c r="Q207" s="44"/>
      <c r="T207" s="3"/>
      <c r="U207" s="11">
        <v>18.440000000000001</v>
      </c>
      <c r="V207" s="11">
        <v>565402</v>
      </c>
      <c r="W207" s="14"/>
      <c r="Y207" s="11"/>
      <c r="Z207" s="49"/>
      <c r="AA207" s="11">
        <v>19.89</v>
      </c>
      <c r="AB207" s="11">
        <v>322253</v>
      </c>
      <c r="AC207" s="3"/>
    </row>
    <row r="208" spans="1:29" ht="15.75" customHeight="1">
      <c r="A208" s="2" t="s">
        <v>264</v>
      </c>
      <c r="B208" s="37" t="s">
        <v>120</v>
      </c>
      <c r="C208" s="11">
        <v>8.1869999999999994</v>
      </c>
      <c r="D208" s="11">
        <v>1089422</v>
      </c>
      <c r="E208" s="30"/>
      <c r="F208" s="11">
        <v>10.817</v>
      </c>
      <c r="G208" s="11">
        <v>454307</v>
      </c>
      <c r="I208" s="26">
        <v>11.47</v>
      </c>
      <c r="J208" s="11">
        <v>4830778</v>
      </c>
      <c r="K208" s="41"/>
      <c r="L208" s="11">
        <v>12.847</v>
      </c>
      <c r="M208" s="11">
        <v>2341857</v>
      </c>
      <c r="O208" s="26">
        <v>16.347000000000001</v>
      </c>
      <c r="P208" s="11">
        <v>964803</v>
      </c>
      <c r="Q208" s="44"/>
      <c r="T208" s="3"/>
      <c r="U208" s="11">
        <v>18.457000000000001</v>
      </c>
      <c r="V208" s="11">
        <v>387850</v>
      </c>
      <c r="W208" s="14"/>
      <c r="Y208" s="11"/>
      <c r="Z208" s="49"/>
      <c r="AA208" s="11">
        <v>19.896999999999998</v>
      </c>
      <c r="AB208" s="11">
        <v>278406</v>
      </c>
      <c r="AC208" s="3"/>
    </row>
    <row r="209" spans="1:29" ht="15.75" customHeight="1">
      <c r="A209" s="2" t="s">
        <v>265</v>
      </c>
      <c r="B209" s="37" t="s">
        <v>120</v>
      </c>
      <c r="C209" s="11">
        <v>8.1769999999999996</v>
      </c>
      <c r="D209" s="11">
        <v>1360884</v>
      </c>
      <c r="E209" s="30"/>
      <c r="F209" s="11">
        <v>10.823</v>
      </c>
      <c r="G209" s="11">
        <v>477344</v>
      </c>
      <c r="I209" s="26">
        <v>11.47</v>
      </c>
      <c r="J209" s="11">
        <v>5284782</v>
      </c>
      <c r="K209" s="41"/>
      <c r="L209" s="11">
        <v>12.843</v>
      </c>
      <c r="M209" s="11">
        <v>2245519</v>
      </c>
      <c r="O209" s="26">
        <v>16.343</v>
      </c>
      <c r="P209" s="11">
        <v>947595</v>
      </c>
      <c r="Q209" s="44"/>
      <c r="T209" s="3"/>
      <c r="U209" s="11">
        <v>18.483000000000001</v>
      </c>
      <c r="V209" s="11">
        <v>396129</v>
      </c>
      <c r="W209" s="14"/>
      <c r="Y209" s="11"/>
      <c r="Z209" s="49"/>
      <c r="AA209" s="11">
        <v>19.907</v>
      </c>
      <c r="AB209" s="11">
        <v>295169</v>
      </c>
      <c r="AC209" s="3"/>
    </row>
    <row r="210" spans="1:29" ht="15.75" customHeight="1">
      <c r="A210" s="2" t="s">
        <v>266</v>
      </c>
      <c r="B210" s="37" t="s">
        <v>124</v>
      </c>
      <c r="C210" s="11">
        <v>8.1869999999999994</v>
      </c>
      <c r="D210" s="11">
        <v>1359456</v>
      </c>
      <c r="E210" s="30"/>
      <c r="F210" s="11">
        <v>10.823</v>
      </c>
      <c r="G210" s="11">
        <v>542557</v>
      </c>
      <c r="I210" s="26">
        <v>11.467000000000001</v>
      </c>
      <c r="J210" s="11">
        <v>4768337</v>
      </c>
      <c r="K210" s="41"/>
      <c r="L210" s="11">
        <v>12.847</v>
      </c>
      <c r="M210" s="11">
        <v>2476710</v>
      </c>
      <c r="O210" s="26">
        <v>16.34</v>
      </c>
      <c r="P210" s="11">
        <v>1090788</v>
      </c>
      <c r="Q210" s="44"/>
      <c r="T210" s="3"/>
      <c r="U210" s="11">
        <v>18.486999999999998</v>
      </c>
      <c r="V210" s="11">
        <v>382592</v>
      </c>
      <c r="W210" s="14"/>
      <c r="Y210" s="11"/>
      <c r="Z210" s="49"/>
      <c r="AA210" s="11">
        <v>19.893000000000001</v>
      </c>
      <c r="AB210" s="11">
        <v>197121</v>
      </c>
      <c r="AC210" s="3"/>
    </row>
    <row r="211" spans="1:29" ht="15.75" customHeight="1">
      <c r="A211" s="2" t="s">
        <v>267</v>
      </c>
      <c r="B211" s="37" t="s">
        <v>124</v>
      </c>
      <c r="C211" s="11">
        <v>8.1869999999999994</v>
      </c>
      <c r="D211" s="11">
        <v>1334973</v>
      </c>
      <c r="E211" s="30"/>
      <c r="F211" s="11">
        <v>10.83</v>
      </c>
      <c r="G211" s="11">
        <v>563008</v>
      </c>
      <c r="I211" s="26">
        <v>11.477</v>
      </c>
      <c r="J211" s="11">
        <v>5110944</v>
      </c>
      <c r="K211" s="41"/>
      <c r="L211" s="11">
        <v>12.85</v>
      </c>
      <c r="M211" s="11">
        <v>2941878</v>
      </c>
      <c r="O211" s="26">
        <v>16.343</v>
      </c>
      <c r="P211" s="11">
        <v>1167029</v>
      </c>
      <c r="Q211" s="44"/>
      <c r="T211" s="3"/>
      <c r="U211" s="11">
        <v>18.472999999999999</v>
      </c>
      <c r="V211" s="11">
        <v>449098</v>
      </c>
      <c r="W211" s="14"/>
      <c r="Y211" s="11"/>
      <c r="Z211" s="49"/>
      <c r="AA211" s="11">
        <v>19.88</v>
      </c>
      <c r="AB211" s="11">
        <v>149320</v>
      </c>
      <c r="AC211" s="3"/>
    </row>
    <row r="212" spans="1:29" ht="15.75" customHeight="1">
      <c r="A212" s="2" t="s">
        <v>268</v>
      </c>
      <c r="B212" s="37" t="s">
        <v>124</v>
      </c>
      <c r="C212" s="11">
        <v>8.18</v>
      </c>
      <c r="D212" s="11">
        <v>1720265</v>
      </c>
      <c r="E212" s="30"/>
      <c r="F212" s="11">
        <v>10.823</v>
      </c>
      <c r="G212" s="11">
        <v>543592</v>
      </c>
      <c r="I212" s="26">
        <v>11.473000000000001</v>
      </c>
      <c r="J212" s="11">
        <v>5310295</v>
      </c>
      <c r="K212" s="41"/>
      <c r="L212" s="11">
        <v>12.847</v>
      </c>
      <c r="M212" s="11">
        <v>3073139</v>
      </c>
      <c r="O212" s="26">
        <v>16.323</v>
      </c>
      <c r="P212" s="11">
        <v>1127236</v>
      </c>
      <c r="Q212" s="44"/>
      <c r="T212" s="3"/>
      <c r="U212" s="11">
        <v>18.486999999999998</v>
      </c>
      <c r="V212" s="11">
        <v>58935</v>
      </c>
      <c r="W212" s="14"/>
      <c r="X212" s="11">
        <v>19.343</v>
      </c>
      <c r="Y212" s="11">
        <v>211313</v>
      </c>
      <c r="Z212" s="49"/>
      <c r="AC212" s="3"/>
    </row>
    <row r="213" spans="1:29" ht="15.75" customHeight="1">
      <c r="A213" s="2" t="s">
        <v>269</v>
      </c>
      <c r="B213" s="37" t="s">
        <v>128</v>
      </c>
      <c r="C213" s="11">
        <v>8.1669999999999998</v>
      </c>
      <c r="D213" s="11">
        <v>1846587</v>
      </c>
      <c r="E213" s="30"/>
      <c r="F213" s="11">
        <v>10.837</v>
      </c>
      <c r="G213" s="11">
        <v>653538</v>
      </c>
      <c r="I213" s="26">
        <v>11.493</v>
      </c>
      <c r="J213" s="11">
        <v>6492891</v>
      </c>
      <c r="K213" s="41"/>
      <c r="L213" s="11">
        <v>12.86</v>
      </c>
      <c r="M213" s="11">
        <v>4848387</v>
      </c>
      <c r="O213" s="26">
        <v>16.332999999999998</v>
      </c>
      <c r="P213" s="11">
        <v>862063</v>
      </c>
      <c r="Q213" s="44"/>
      <c r="T213" s="3"/>
      <c r="U213" s="11">
        <v>17.812999999999999</v>
      </c>
      <c r="V213" s="11">
        <v>648398</v>
      </c>
      <c r="W213" s="14"/>
      <c r="X213" s="11">
        <v>19.853000000000002</v>
      </c>
      <c r="Y213" s="11">
        <v>176752</v>
      </c>
      <c r="Z213" s="49"/>
      <c r="AC213" s="3"/>
    </row>
    <row r="214" spans="1:29" ht="15.75" customHeight="1">
      <c r="A214" s="2" t="s">
        <v>270</v>
      </c>
      <c r="B214" s="37" t="s">
        <v>128</v>
      </c>
      <c r="C214" s="11">
        <v>8.173</v>
      </c>
      <c r="D214" s="11">
        <v>1885811</v>
      </c>
      <c r="E214" s="30"/>
      <c r="F214" s="11">
        <v>10.837</v>
      </c>
      <c r="G214" s="11">
        <v>608803</v>
      </c>
      <c r="I214" s="26">
        <v>11.493</v>
      </c>
      <c r="J214" s="11">
        <v>6555893</v>
      </c>
      <c r="K214" s="41"/>
      <c r="L214" s="11">
        <v>12.86</v>
      </c>
      <c r="M214" s="11">
        <v>4637566</v>
      </c>
      <c r="O214" s="26">
        <v>16.329999999999998</v>
      </c>
      <c r="P214" s="11">
        <v>1050089</v>
      </c>
      <c r="Q214" s="44"/>
      <c r="T214" s="3"/>
      <c r="U214" s="11">
        <v>17.687000000000001</v>
      </c>
      <c r="V214" s="11">
        <v>1076215</v>
      </c>
      <c r="W214" s="14"/>
      <c r="X214" s="11">
        <v>19.843</v>
      </c>
      <c r="Y214" s="11">
        <v>276781</v>
      </c>
      <c r="Z214" s="49"/>
      <c r="AC214" s="3"/>
    </row>
    <row r="215" spans="1:29" ht="15.75" customHeight="1">
      <c r="A215" s="2" t="s">
        <v>271</v>
      </c>
      <c r="B215" s="37" t="s">
        <v>128</v>
      </c>
      <c r="C215" s="11">
        <v>8.1669999999999998</v>
      </c>
      <c r="D215" s="11">
        <v>1900717</v>
      </c>
      <c r="E215" s="30"/>
      <c r="F215" s="11">
        <v>10.827</v>
      </c>
      <c r="G215" s="11">
        <v>553374</v>
      </c>
      <c r="I215" s="26">
        <v>11.487</v>
      </c>
      <c r="J215" s="11">
        <v>6813047</v>
      </c>
      <c r="K215" s="41"/>
      <c r="L215" s="11">
        <v>12.853</v>
      </c>
      <c r="M215" s="11">
        <v>4557872</v>
      </c>
      <c r="O215" s="26">
        <v>16.312999999999999</v>
      </c>
      <c r="P215" s="11">
        <v>1300237</v>
      </c>
      <c r="Q215" s="44"/>
      <c r="T215" s="3"/>
      <c r="U215" s="11">
        <v>19.413</v>
      </c>
      <c r="V215" s="11">
        <v>654898</v>
      </c>
      <c r="W215" s="14"/>
      <c r="X215" s="11">
        <v>19.36</v>
      </c>
      <c r="Y215" s="11">
        <v>208405</v>
      </c>
      <c r="Z215" s="49"/>
      <c r="AC215" s="3"/>
    </row>
    <row r="216" spans="1:29" ht="15.75" customHeight="1">
      <c r="A216" s="2" t="s">
        <v>272</v>
      </c>
      <c r="B216" s="37" t="s">
        <v>132</v>
      </c>
      <c r="C216" s="11">
        <v>8.173</v>
      </c>
      <c r="D216" s="11">
        <v>1560375</v>
      </c>
      <c r="E216" s="30"/>
      <c r="F216" s="11">
        <v>10.823</v>
      </c>
      <c r="G216" s="11">
        <v>556519</v>
      </c>
      <c r="I216" s="26">
        <v>11.483000000000001</v>
      </c>
      <c r="J216" s="11">
        <v>6349472</v>
      </c>
      <c r="K216" s="41"/>
      <c r="L216" s="11">
        <v>12.86</v>
      </c>
      <c r="M216" s="11">
        <v>4862296</v>
      </c>
      <c r="O216" s="26">
        <v>16.32</v>
      </c>
      <c r="P216" s="11">
        <v>1591341</v>
      </c>
      <c r="Q216" s="44"/>
      <c r="T216" s="3"/>
      <c r="U216" s="11">
        <v>19.190000000000001</v>
      </c>
      <c r="V216" s="11">
        <v>571334</v>
      </c>
      <c r="W216" s="14"/>
      <c r="Z216" s="49"/>
      <c r="AA216" s="11">
        <v>19.809999999999999</v>
      </c>
      <c r="AB216" s="11">
        <v>179860</v>
      </c>
      <c r="AC216" s="3"/>
    </row>
    <row r="217" spans="1:29" ht="15.75" customHeight="1">
      <c r="A217" s="2" t="s">
        <v>273</v>
      </c>
      <c r="B217" s="37" t="s">
        <v>132</v>
      </c>
      <c r="C217" s="11">
        <v>8.1630000000000003</v>
      </c>
      <c r="D217" s="11">
        <v>1753123</v>
      </c>
      <c r="E217" s="30"/>
      <c r="F217" s="11">
        <v>10.823</v>
      </c>
      <c r="G217" s="11">
        <v>565721</v>
      </c>
      <c r="I217" s="26">
        <v>11.48</v>
      </c>
      <c r="J217" s="11">
        <v>6597224</v>
      </c>
      <c r="K217" s="41"/>
      <c r="L217" s="11">
        <v>12.856999999999999</v>
      </c>
      <c r="M217" s="11">
        <v>4484394</v>
      </c>
      <c r="O217" s="26">
        <v>16.312999999999999</v>
      </c>
      <c r="P217" s="11">
        <v>1446146</v>
      </c>
      <c r="Q217" s="44"/>
      <c r="T217" s="3"/>
      <c r="U217" s="11">
        <v>19.363</v>
      </c>
      <c r="V217" s="11">
        <v>544479</v>
      </c>
      <c r="W217" s="14"/>
      <c r="Z217" s="49"/>
      <c r="AA217" s="11">
        <v>19.783000000000001</v>
      </c>
      <c r="AB217" s="11">
        <v>196382</v>
      </c>
      <c r="AC217" s="3"/>
    </row>
    <row r="218" spans="1:29" ht="15.75" customHeight="1">
      <c r="A218" s="2" t="s">
        <v>274</v>
      </c>
      <c r="B218" s="37" t="s">
        <v>132</v>
      </c>
      <c r="C218" s="11">
        <v>8.1630000000000003</v>
      </c>
      <c r="D218" s="11">
        <v>1958248</v>
      </c>
      <c r="E218" s="30"/>
      <c r="F218" s="11">
        <v>10.82</v>
      </c>
      <c r="G218" s="11">
        <v>534543</v>
      </c>
      <c r="I218" s="26">
        <v>11.48</v>
      </c>
      <c r="J218" s="11">
        <v>6744479</v>
      </c>
      <c r="K218" s="41"/>
      <c r="L218" s="11">
        <v>12.856999999999999</v>
      </c>
      <c r="M218" s="11">
        <v>4628504</v>
      </c>
      <c r="O218" s="26">
        <v>16.303000000000001</v>
      </c>
      <c r="P218" s="11">
        <v>1314365</v>
      </c>
      <c r="Q218" s="44"/>
      <c r="T218" s="3"/>
      <c r="U218" s="11">
        <v>19.332999999999998</v>
      </c>
      <c r="V218" s="11">
        <v>538254</v>
      </c>
      <c r="W218" s="14"/>
      <c r="Z218" s="49"/>
      <c r="AA218" s="11">
        <v>19.797000000000001</v>
      </c>
      <c r="AB218" s="11">
        <v>138242</v>
      </c>
      <c r="AC218" s="3"/>
    </row>
    <row r="219" spans="1:29" ht="15.75" customHeight="1">
      <c r="A219" s="2" t="s">
        <v>275</v>
      </c>
      <c r="B219" s="37" t="s">
        <v>136</v>
      </c>
      <c r="C219" s="11">
        <v>8.17</v>
      </c>
      <c r="D219" s="11">
        <v>2215372</v>
      </c>
      <c r="E219" s="30"/>
      <c r="F219" s="11">
        <v>10.78</v>
      </c>
      <c r="G219" s="11">
        <v>633292</v>
      </c>
      <c r="I219" s="26">
        <v>11.467000000000001</v>
      </c>
      <c r="J219" s="11">
        <v>8658337</v>
      </c>
      <c r="K219" s="41"/>
      <c r="L219" s="11">
        <v>12.847</v>
      </c>
      <c r="M219" s="11">
        <v>3953310</v>
      </c>
      <c r="O219" s="26">
        <v>16.283000000000001</v>
      </c>
      <c r="P219" s="11">
        <v>2103168</v>
      </c>
      <c r="Q219" s="44"/>
      <c r="T219" s="3"/>
      <c r="U219" s="11">
        <v>18.687000000000001</v>
      </c>
      <c r="V219" s="11">
        <v>352970</v>
      </c>
      <c r="W219" s="14"/>
      <c r="Z219" s="49"/>
      <c r="AA219" s="11">
        <v>19.786999999999999</v>
      </c>
      <c r="AB219" s="11">
        <v>150735</v>
      </c>
      <c r="AC219" s="3"/>
    </row>
    <row r="220" spans="1:29" ht="15.75" customHeight="1">
      <c r="A220" s="2" t="s">
        <v>276</v>
      </c>
      <c r="B220" s="37" t="s">
        <v>136</v>
      </c>
      <c r="C220" s="11">
        <v>8.1829999999999998</v>
      </c>
      <c r="D220" s="11">
        <v>1325046</v>
      </c>
      <c r="E220" s="30"/>
      <c r="F220" s="11">
        <v>10.797000000000001</v>
      </c>
      <c r="G220" s="11">
        <v>589393</v>
      </c>
      <c r="I220" s="26">
        <v>11.467000000000001</v>
      </c>
      <c r="J220" s="11">
        <v>6783810</v>
      </c>
      <c r="K220" s="41"/>
      <c r="L220" s="11">
        <v>12.847</v>
      </c>
      <c r="M220" s="11">
        <v>3571790</v>
      </c>
      <c r="O220" s="26">
        <v>16.29</v>
      </c>
      <c r="P220" s="11">
        <v>1704659</v>
      </c>
      <c r="Q220" s="44"/>
      <c r="T220" s="3"/>
      <c r="U220" s="11">
        <v>18.626999999999999</v>
      </c>
      <c r="V220" s="11">
        <v>345725</v>
      </c>
      <c r="W220" s="14"/>
      <c r="Z220" s="49"/>
      <c r="AA220" s="11">
        <v>19.773</v>
      </c>
      <c r="AB220" s="11">
        <v>192846</v>
      </c>
      <c r="AC220" s="3"/>
    </row>
    <row r="221" spans="1:29" ht="15.75" customHeight="1">
      <c r="A221" s="2" t="s">
        <v>277</v>
      </c>
      <c r="B221" s="37" t="s">
        <v>136</v>
      </c>
      <c r="C221" s="11">
        <v>8.1669999999999998</v>
      </c>
      <c r="D221" s="11">
        <v>1764808</v>
      </c>
      <c r="E221" s="30"/>
      <c r="F221" s="11">
        <v>10.8</v>
      </c>
      <c r="G221" s="11">
        <v>512419</v>
      </c>
      <c r="I221" s="26">
        <v>11.457000000000001</v>
      </c>
      <c r="J221" s="11">
        <v>6860605</v>
      </c>
      <c r="K221" s="41"/>
      <c r="L221" s="11">
        <v>12.843</v>
      </c>
      <c r="M221" s="11">
        <v>3536914</v>
      </c>
      <c r="O221" s="26">
        <v>16.283000000000001</v>
      </c>
      <c r="P221" s="11">
        <v>1493988</v>
      </c>
      <c r="Q221" s="44"/>
      <c r="T221" s="3"/>
      <c r="U221" s="11">
        <v>18.667000000000002</v>
      </c>
      <c r="V221" s="11">
        <v>172387</v>
      </c>
      <c r="W221" s="14"/>
      <c r="Z221" s="49"/>
      <c r="AA221" s="11">
        <v>19.753</v>
      </c>
      <c r="AB221" s="11">
        <v>147450</v>
      </c>
      <c r="AC221" s="3"/>
    </row>
    <row r="222" spans="1:29" ht="15.75" customHeight="1">
      <c r="A222" s="2" t="s">
        <v>278</v>
      </c>
      <c r="B222" s="37" t="s">
        <v>140</v>
      </c>
      <c r="C222" s="11">
        <v>8.17</v>
      </c>
      <c r="D222" s="11">
        <v>1063182</v>
      </c>
      <c r="E222" s="30"/>
      <c r="F222" s="11">
        <v>10.803000000000001</v>
      </c>
      <c r="G222" s="11">
        <v>438839</v>
      </c>
      <c r="I222" s="26">
        <v>11.44</v>
      </c>
      <c r="J222" s="11">
        <v>4026479</v>
      </c>
      <c r="K222" s="41"/>
      <c r="L222" s="11">
        <v>12.84</v>
      </c>
      <c r="M222" s="11">
        <v>2894983</v>
      </c>
      <c r="O222" s="26">
        <v>16.266999999999999</v>
      </c>
      <c r="P222" s="11">
        <v>924375</v>
      </c>
      <c r="Q222" s="44"/>
      <c r="T222" s="3"/>
      <c r="U222" s="11">
        <v>18.52</v>
      </c>
      <c r="V222" s="11">
        <v>2989</v>
      </c>
      <c r="W222" s="14"/>
      <c r="Z222" s="49"/>
      <c r="AA222" s="11">
        <v>19.733000000000001</v>
      </c>
      <c r="AB222" s="11">
        <v>131037</v>
      </c>
      <c r="AC222" s="3"/>
    </row>
    <row r="223" spans="1:29" ht="15.75" customHeight="1">
      <c r="A223" s="2" t="s">
        <v>279</v>
      </c>
      <c r="B223" s="37" t="s">
        <v>140</v>
      </c>
      <c r="C223" s="11">
        <v>8.17</v>
      </c>
      <c r="D223" s="11">
        <v>1163145</v>
      </c>
      <c r="E223" s="30"/>
      <c r="F223" s="11">
        <v>10.797000000000001</v>
      </c>
      <c r="G223" s="11">
        <v>338440</v>
      </c>
      <c r="I223" s="26">
        <v>11.446999999999999</v>
      </c>
      <c r="J223" s="11">
        <v>4833138</v>
      </c>
      <c r="K223" s="41"/>
      <c r="L223" s="11">
        <v>12.84</v>
      </c>
      <c r="M223" s="11">
        <v>3064682</v>
      </c>
      <c r="O223" s="26">
        <v>16.260000000000002</v>
      </c>
      <c r="P223" s="11">
        <v>1491401</v>
      </c>
      <c r="Q223" s="44"/>
      <c r="T223" s="3"/>
      <c r="U223" s="11">
        <v>18.887</v>
      </c>
      <c r="V223" s="11">
        <v>185</v>
      </c>
      <c r="W223" s="14"/>
      <c r="Z223" s="49"/>
      <c r="AA223" s="11">
        <v>19.683</v>
      </c>
      <c r="AB223" s="11">
        <v>175720</v>
      </c>
      <c r="AC223" s="3"/>
    </row>
    <row r="224" spans="1:29" ht="15.75" customHeight="1">
      <c r="A224" s="2" t="s">
        <v>280</v>
      </c>
      <c r="B224" s="37" t="s">
        <v>140</v>
      </c>
      <c r="C224" s="11">
        <v>8.17</v>
      </c>
      <c r="D224" s="11">
        <v>1618773</v>
      </c>
      <c r="E224" s="30"/>
      <c r="F224" s="11">
        <v>10.797000000000001</v>
      </c>
      <c r="G224" s="11">
        <v>393554</v>
      </c>
      <c r="I224" s="26">
        <v>11.452999999999999</v>
      </c>
      <c r="J224" s="11">
        <v>6604476</v>
      </c>
      <c r="K224" s="41"/>
      <c r="L224" s="11">
        <v>12.84</v>
      </c>
      <c r="M224" s="11">
        <v>3166203</v>
      </c>
      <c r="O224" s="26">
        <v>16.247</v>
      </c>
      <c r="P224" s="11">
        <v>1663936</v>
      </c>
      <c r="Q224" s="44"/>
      <c r="T224" s="3"/>
      <c r="U224" s="11">
        <v>18.876999999999999</v>
      </c>
      <c r="V224" s="11">
        <v>6389</v>
      </c>
      <c r="W224" s="14"/>
      <c r="Z224" s="49"/>
      <c r="AA224" s="11">
        <v>19.683</v>
      </c>
      <c r="AB224" s="11">
        <v>158286</v>
      </c>
      <c r="AC224" s="3"/>
    </row>
    <row r="225" spans="1:29" ht="15.75" customHeight="1">
      <c r="A225" s="2" t="s">
        <v>281</v>
      </c>
      <c r="B225" s="37" t="s">
        <v>144</v>
      </c>
      <c r="C225" s="11">
        <v>8.1630000000000003</v>
      </c>
      <c r="D225" s="11">
        <v>1887541</v>
      </c>
      <c r="E225" s="30"/>
      <c r="F225" s="11">
        <v>10.797000000000001</v>
      </c>
      <c r="G225" s="11">
        <v>424446</v>
      </c>
      <c r="I225" s="26">
        <v>11.457000000000001</v>
      </c>
      <c r="J225" s="11">
        <v>7075247</v>
      </c>
      <c r="K225" s="41"/>
      <c r="L225" s="11">
        <v>12.847</v>
      </c>
      <c r="M225" s="11">
        <v>4001016</v>
      </c>
      <c r="O225" s="26">
        <v>16.236999999999998</v>
      </c>
      <c r="P225" s="11">
        <v>1413499</v>
      </c>
      <c r="Q225" s="44"/>
      <c r="T225" s="3"/>
      <c r="U225" s="11">
        <v>18.882999999999999</v>
      </c>
      <c r="V225" s="11">
        <v>10047</v>
      </c>
      <c r="W225" s="14"/>
      <c r="Z225" s="49"/>
      <c r="AA225" s="11">
        <v>19.722999999999999</v>
      </c>
      <c r="AB225" s="11">
        <v>191708</v>
      </c>
      <c r="AC225" s="3"/>
    </row>
    <row r="226" spans="1:29" ht="15.75" customHeight="1">
      <c r="A226" s="2" t="s">
        <v>282</v>
      </c>
      <c r="B226" s="37" t="s">
        <v>144</v>
      </c>
      <c r="C226" s="11">
        <v>8.16</v>
      </c>
      <c r="D226" s="11">
        <v>1297170</v>
      </c>
      <c r="E226" s="30"/>
      <c r="F226" s="11">
        <v>10.797000000000001</v>
      </c>
      <c r="G226" s="11">
        <v>344495</v>
      </c>
      <c r="I226" s="26">
        <v>11.46</v>
      </c>
      <c r="J226" s="11">
        <v>7181372</v>
      </c>
      <c r="K226" s="41"/>
      <c r="L226" s="11">
        <v>12.847</v>
      </c>
      <c r="M226" s="11">
        <v>3691709</v>
      </c>
      <c r="O226" s="26">
        <v>16.233000000000001</v>
      </c>
      <c r="P226" s="11">
        <v>1511064</v>
      </c>
      <c r="Q226" s="44"/>
      <c r="T226" s="3"/>
      <c r="U226" s="11">
        <v>18.902999999999999</v>
      </c>
      <c r="V226" s="11">
        <v>17338</v>
      </c>
      <c r="W226" s="14"/>
      <c r="Z226" s="49"/>
      <c r="AA226" s="11">
        <v>19.722999999999999</v>
      </c>
      <c r="AB226" s="11">
        <v>203076</v>
      </c>
      <c r="AC226" s="3"/>
    </row>
    <row r="227" spans="1:29" ht="15.75" customHeight="1">
      <c r="A227" s="2" t="s">
        <v>283</v>
      </c>
      <c r="B227" s="37" t="s">
        <v>144</v>
      </c>
      <c r="C227" s="11">
        <v>8.15</v>
      </c>
      <c r="D227" s="11">
        <v>1162650</v>
      </c>
      <c r="E227" s="30"/>
      <c r="F227" s="11">
        <v>10.79</v>
      </c>
      <c r="G227" s="11">
        <v>367074</v>
      </c>
      <c r="I227" s="26">
        <v>11.452999999999999</v>
      </c>
      <c r="J227" s="11">
        <v>6606210</v>
      </c>
      <c r="K227" s="41"/>
      <c r="L227" s="11">
        <v>12.85</v>
      </c>
      <c r="M227" s="11">
        <v>4257486</v>
      </c>
      <c r="O227" s="26">
        <v>16.222999999999999</v>
      </c>
      <c r="P227" s="11">
        <v>1232715</v>
      </c>
      <c r="Q227" s="44"/>
      <c r="T227" s="3"/>
      <c r="U227" s="11">
        <v>18.943000000000001</v>
      </c>
      <c r="V227" s="11">
        <v>58875</v>
      </c>
      <c r="W227" s="14"/>
      <c r="Z227" s="49"/>
      <c r="AA227" s="11">
        <v>19.713000000000001</v>
      </c>
      <c r="AB227" s="11">
        <v>146054</v>
      </c>
      <c r="AC227" s="3"/>
    </row>
    <row r="228" spans="1:29" ht="15.75" customHeight="1">
      <c r="A228" s="2" t="s">
        <v>284</v>
      </c>
      <c r="B228" s="37" t="s">
        <v>148</v>
      </c>
      <c r="C228" s="11">
        <v>8.157</v>
      </c>
      <c r="D228" s="11">
        <v>537466</v>
      </c>
      <c r="E228" s="30"/>
      <c r="F228" s="11">
        <v>10.78</v>
      </c>
      <c r="G228" s="11">
        <v>113684</v>
      </c>
      <c r="I228" s="26">
        <v>11.417</v>
      </c>
      <c r="J228" s="11">
        <v>2961363</v>
      </c>
      <c r="K228" s="41"/>
      <c r="L228" s="11">
        <v>12.84</v>
      </c>
      <c r="M228" s="11">
        <v>2208773</v>
      </c>
      <c r="O228" s="26">
        <v>16.21</v>
      </c>
      <c r="P228" s="11">
        <v>1038077</v>
      </c>
      <c r="Q228" s="44"/>
      <c r="T228" s="3"/>
      <c r="U228" s="11">
        <v>18.952999999999999</v>
      </c>
      <c r="V228" s="11">
        <v>23686</v>
      </c>
      <c r="W228" s="14"/>
      <c r="X228" s="11">
        <v>19.382999999999999</v>
      </c>
      <c r="Y228" s="11">
        <v>1738186</v>
      </c>
      <c r="Z228" s="49"/>
      <c r="AC228" s="3"/>
    </row>
    <row r="229" spans="1:29" ht="15.75" customHeight="1">
      <c r="A229" s="2" t="s">
        <v>285</v>
      </c>
      <c r="B229" s="37" t="s">
        <v>148</v>
      </c>
      <c r="C229" s="11">
        <v>8.157</v>
      </c>
      <c r="D229" s="11">
        <v>1696594</v>
      </c>
      <c r="E229" s="30"/>
      <c r="F229" s="11">
        <v>10.787000000000001</v>
      </c>
      <c r="G229" s="11">
        <v>190267</v>
      </c>
      <c r="I229" s="26">
        <v>11.446999999999999</v>
      </c>
      <c r="J229" s="11">
        <v>7432409</v>
      </c>
      <c r="K229" s="41"/>
      <c r="L229" s="11">
        <v>12.837</v>
      </c>
      <c r="M229" s="11">
        <v>2948287</v>
      </c>
      <c r="O229" s="26">
        <v>16.216999999999999</v>
      </c>
      <c r="P229" s="11">
        <v>821971</v>
      </c>
      <c r="Q229" s="44"/>
      <c r="T229" s="3"/>
      <c r="U229" s="11">
        <v>18.93</v>
      </c>
      <c r="V229" s="11">
        <v>91551</v>
      </c>
      <c r="W229" s="14"/>
      <c r="X229" s="11">
        <v>19.376999999999999</v>
      </c>
      <c r="Y229" s="11">
        <v>1928707</v>
      </c>
      <c r="Z229" s="49"/>
      <c r="AC229" s="3"/>
    </row>
    <row r="230" spans="1:29" ht="15.75" customHeight="1">
      <c r="A230" s="2" t="s">
        <v>286</v>
      </c>
      <c r="B230" s="37" t="s">
        <v>148</v>
      </c>
      <c r="C230" s="11">
        <v>8.15</v>
      </c>
      <c r="D230" s="11">
        <v>1099977</v>
      </c>
      <c r="E230" s="30"/>
      <c r="F230" s="11">
        <v>10.787000000000001</v>
      </c>
      <c r="G230" s="11">
        <v>279442</v>
      </c>
      <c r="I230" s="26">
        <v>11.43</v>
      </c>
      <c r="J230" s="11">
        <v>5166231</v>
      </c>
      <c r="K230" s="41"/>
      <c r="L230" s="11">
        <v>12.84</v>
      </c>
      <c r="M230" s="11">
        <v>3491043</v>
      </c>
      <c r="O230" s="26">
        <v>16.207000000000001</v>
      </c>
      <c r="P230" s="11">
        <v>858460</v>
      </c>
      <c r="Q230" s="44"/>
      <c r="T230" s="3"/>
      <c r="U230" s="11">
        <v>18.920000000000002</v>
      </c>
      <c r="V230" s="11">
        <v>178418</v>
      </c>
      <c r="W230" s="14"/>
      <c r="X230" s="11">
        <v>19.376999999999999</v>
      </c>
      <c r="Y230" s="11">
        <v>2075724</v>
      </c>
      <c r="Z230" s="49"/>
      <c r="AC230" s="3"/>
    </row>
    <row r="231" spans="1:29" ht="15.75" customHeight="1">
      <c r="A231" s="2" t="s">
        <v>287</v>
      </c>
      <c r="B231" s="37" t="s">
        <v>152</v>
      </c>
      <c r="C231" s="11">
        <v>8.16</v>
      </c>
      <c r="D231" s="11">
        <v>946559</v>
      </c>
      <c r="E231" s="30"/>
      <c r="F231" s="11">
        <v>10.787000000000001</v>
      </c>
      <c r="G231" s="11">
        <v>248359</v>
      </c>
      <c r="I231" s="26">
        <v>11.427</v>
      </c>
      <c r="J231" s="11">
        <v>4509650</v>
      </c>
      <c r="K231" s="41"/>
      <c r="L231" s="11">
        <v>12.84</v>
      </c>
      <c r="M231" s="11">
        <v>3367293</v>
      </c>
      <c r="O231" s="26">
        <v>16.213000000000001</v>
      </c>
      <c r="P231" s="11">
        <v>1575808</v>
      </c>
      <c r="Q231" s="44"/>
      <c r="T231" s="3"/>
      <c r="U231" s="11">
        <v>18.902999999999999</v>
      </c>
      <c r="V231" s="11">
        <v>65744</v>
      </c>
      <c r="W231" s="14"/>
      <c r="X231" s="11">
        <v>19.376999999999999</v>
      </c>
      <c r="Y231" s="11">
        <v>2459919</v>
      </c>
      <c r="Z231" s="49"/>
      <c r="AC231" s="3"/>
    </row>
    <row r="232" spans="1:29" ht="15.75" customHeight="1">
      <c r="A232" s="2" t="s">
        <v>288</v>
      </c>
      <c r="B232" s="37" t="s">
        <v>152</v>
      </c>
      <c r="C232" s="11">
        <v>8.1669999999999998</v>
      </c>
      <c r="D232" s="11">
        <v>1525223</v>
      </c>
      <c r="E232" s="30"/>
      <c r="F232" s="11">
        <v>10.79</v>
      </c>
      <c r="G232" s="11">
        <v>443586</v>
      </c>
      <c r="I232" s="26">
        <v>11.433</v>
      </c>
      <c r="J232" s="11">
        <v>5144717</v>
      </c>
      <c r="K232" s="41"/>
      <c r="L232" s="11">
        <v>12.84</v>
      </c>
      <c r="M232" s="11">
        <v>3373375</v>
      </c>
      <c r="O232" s="26">
        <v>16.216999999999999</v>
      </c>
      <c r="P232" s="11">
        <v>1187745</v>
      </c>
      <c r="Q232" s="44"/>
      <c r="T232" s="3"/>
      <c r="U232" s="11">
        <v>18.446999999999999</v>
      </c>
      <c r="V232" s="11">
        <v>20400</v>
      </c>
      <c r="W232" s="14"/>
      <c r="X232" s="11">
        <v>19.373000000000001</v>
      </c>
      <c r="Y232" s="11">
        <v>2883475</v>
      </c>
      <c r="Z232" s="49"/>
      <c r="AC232" s="3"/>
    </row>
    <row r="233" spans="1:29" ht="15.75" customHeight="1">
      <c r="A233" s="2" t="s">
        <v>289</v>
      </c>
      <c r="B233" s="37" t="s">
        <v>152</v>
      </c>
      <c r="C233" s="11">
        <v>8.16</v>
      </c>
      <c r="D233" s="11">
        <v>1375675</v>
      </c>
      <c r="E233" s="30"/>
      <c r="F233" s="11">
        <v>10.782999999999999</v>
      </c>
      <c r="G233" s="11">
        <v>266598</v>
      </c>
      <c r="I233" s="26">
        <v>11.43</v>
      </c>
      <c r="J233" s="11">
        <v>5199862</v>
      </c>
      <c r="K233" s="41"/>
      <c r="L233" s="11">
        <v>12.837</v>
      </c>
      <c r="M233" s="11">
        <v>3333754</v>
      </c>
      <c r="O233" s="26">
        <v>16.21</v>
      </c>
      <c r="P233" s="11">
        <v>1495860</v>
      </c>
      <c r="Q233" s="44"/>
      <c r="T233" s="3"/>
      <c r="U233" s="11">
        <v>18.907</v>
      </c>
      <c r="V233" s="11">
        <v>116194</v>
      </c>
      <c r="W233" s="14"/>
      <c r="X233" s="11">
        <v>19.363</v>
      </c>
      <c r="Y233" s="11">
        <v>3622574</v>
      </c>
      <c r="Z233" s="49"/>
      <c r="AC233" s="3"/>
    </row>
    <row r="234" spans="1:29" ht="15.75" customHeight="1">
      <c r="A234" s="2" t="s">
        <v>290</v>
      </c>
      <c r="B234" s="37" t="s">
        <v>156</v>
      </c>
      <c r="C234" s="11">
        <v>8.1669999999999998</v>
      </c>
      <c r="D234" s="11">
        <v>2495928</v>
      </c>
      <c r="E234" s="30"/>
      <c r="F234" s="11">
        <v>10.757</v>
      </c>
      <c r="G234" s="11">
        <v>396181</v>
      </c>
      <c r="I234" s="26">
        <v>11.436999999999999</v>
      </c>
      <c r="J234" s="11">
        <v>8781353</v>
      </c>
      <c r="K234" s="41"/>
      <c r="L234" s="11">
        <v>12.84</v>
      </c>
      <c r="M234" s="11">
        <v>3025776</v>
      </c>
      <c r="O234" s="26">
        <v>16.202999999999999</v>
      </c>
      <c r="P234" s="11">
        <v>1518052</v>
      </c>
      <c r="Q234" s="44"/>
      <c r="T234" s="3"/>
      <c r="U234" s="11">
        <v>18.803000000000001</v>
      </c>
      <c r="V234" s="11">
        <v>97421</v>
      </c>
      <c r="W234" s="14"/>
      <c r="X234" s="11">
        <v>19.353000000000002</v>
      </c>
      <c r="Y234" s="11">
        <v>3596194</v>
      </c>
      <c r="Z234" s="49"/>
      <c r="AC234" s="3"/>
    </row>
    <row r="235" spans="1:29" ht="15.75" customHeight="1">
      <c r="A235" s="2" t="s">
        <v>291</v>
      </c>
      <c r="B235" s="37" t="s">
        <v>156</v>
      </c>
      <c r="C235" s="11">
        <v>8.173</v>
      </c>
      <c r="D235" s="11">
        <v>1179184</v>
      </c>
      <c r="E235" s="30"/>
      <c r="F235" s="11">
        <v>10.747</v>
      </c>
      <c r="G235" s="11">
        <v>538241</v>
      </c>
      <c r="I235" s="26">
        <v>11.43</v>
      </c>
      <c r="J235" s="11">
        <v>7859509</v>
      </c>
      <c r="K235" s="41"/>
      <c r="L235" s="11">
        <v>12.837</v>
      </c>
      <c r="M235" s="11">
        <v>3275608</v>
      </c>
      <c r="O235" s="26">
        <v>16.2</v>
      </c>
      <c r="P235" s="11">
        <v>1567903</v>
      </c>
      <c r="Q235" s="44"/>
      <c r="T235" s="3"/>
      <c r="U235" s="11">
        <v>18.79</v>
      </c>
      <c r="V235" s="11">
        <v>57038</v>
      </c>
      <c r="W235" s="14"/>
      <c r="X235" s="11">
        <v>19.350000000000001</v>
      </c>
      <c r="Y235" s="11">
        <v>3604816</v>
      </c>
      <c r="Z235" s="49"/>
      <c r="AC235" s="3"/>
    </row>
    <row r="236" spans="1:29" ht="15.75" customHeight="1">
      <c r="A236" s="2" t="s">
        <v>292</v>
      </c>
      <c r="B236" s="37" t="s">
        <v>156</v>
      </c>
      <c r="C236" s="11">
        <v>8.17</v>
      </c>
      <c r="D236" s="11">
        <v>1557521</v>
      </c>
      <c r="E236" s="30"/>
      <c r="F236" s="11">
        <v>10.757</v>
      </c>
      <c r="G236" s="11">
        <v>526472</v>
      </c>
      <c r="I236" s="26">
        <v>11.436999999999999</v>
      </c>
      <c r="J236" s="11">
        <v>8235287</v>
      </c>
      <c r="K236" s="41"/>
      <c r="L236" s="11">
        <v>12.843</v>
      </c>
      <c r="M236" s="11">
        <v>3845412</v>
      </c>
      <c r="O236" s="26">
        <v>16.202999999999999</v>
      </c>
      <c r="P236" s="11">
        <v>1422276</v>
      </c>
      <c r="Q236" s="44"/>
      <c r="T236" s="3"/>
      <c r="U236" s="11">
        <v>18.8</v>
      </c>
      <c r="V236" s="11">
        <v>135084</v>
      </c>
      <c r="W236" s="14"/>
      <c r="X236" s="11">
        <v>19.347000000000001</v>
      </c>
      <c r="Y236" s="11">
        <v>4215067</v>
      </c>
      <c r="Z236" s="49"/>
      <c r="AC236" s="3"/>
    </row>
    <row r="237" spans="1:29" ht="15.75" customHeight="1">
      <c r="A237" s="2" t="s">
        <v>293</v>
      </c>
      <c r="B237" s="37" t="s">
        <v>160</v>
      </c>
      <c r="C237" s="11">
        <v>8.16</v>
      </c>
      <c r="D237" s="11">
        <v>1856413</v>
      </c>
      <c r="E237" s="30"/>
      <c r="F237" s="11">
        <v>10.782999999999999</v>
      </c>
      <c r="G237" s="11">
        <v>366351</v>
      </c>
      <c r="I237" s="26">
        <v>11.427</v>
      </c>
      <c r="J237" s="11">
        <v>4115715</v>
      </c>
      <c r="K237" s="41"/>
      <c r="L237" s="11">
        <v>12.843</v>
      </c>
      <c r="M237" s="11">
        <v>3632697</v>
      </c>
      <c r="O237" s="26">
        <v>16.21</v>
      </c>
      <c r="P237" s="11">
        <v>1531917</v>
      </c>
      <c r="Q237" s="44"/>
      <c r="T237" s="3"/>
      <c r="U237" s="11">
        <v>18.893000000000001</v>
      </c>
      <c r="V237" s="11">
        <v>96681</v>
      </c>
      <c r="W237" s="14"/>
      <c r="X237" s="11">
        <v>19.343</v>
      </c>
      <c r="Y237" s="11">
        <v>2640464</v>
      </c>
      <c r="Z237" s="49"/>
      <c r="AC237" s="3"/>
    </row>
    <row r="238" spans="1:29" ht="15.75" customHeight="1">
      <c r="A238" s="2" t="s">
        <v>294</v>
      </c>
      <c r="B238" s="37" t="s">
        <v>160</v>
      </c>
      <c r="C238" s="11">
        <v>8.15</v>
      </c>
      <c r="D238" s="11">
        <v>1049984</v>
      </c>
      <c r="E238" s="30"/>
      <c r="F238" s="11">
        <v>10.782999999999999</v>
      </c>
      <c r="G238" s="11">
        <v>268268</v>
      </c>
      <c r="I238" s="26">
        <v>11.423</v>
      </c>
      <c r="J238" s="11">
        <v>4290620</v>
      </c>
      <c r="K238" s="41"/>
      <c r="L238" s="11">
        <v>12.84</v>
      </c>
      <c r="M238" s="11">
        <v>3530372</v>
      </c>
      <c r="O238" s="26">
        <v>16.2</v>
      </c>
      <c r="P238" s="11">
        <v>1387995</v>
      </c>
      <c r="Q238" s="44"/>
      <c r="T238" s="3"/>
      <c r="U238" s="11">
        <v>18.917000000000002</v>
      </c>
      <c r="V238" s="11">
        <v>125087</v>
      </c>
      <c r="W238" s="14"/>
      <c r="X238" s="11">
        <v>19.34</v>
      </c>
      <c r="Y238" s="11">
        <v>3674318</v>
      </c>
      <c r="Z238" s="49"/>
      <c r="AC238" s="3"/>
    </row>
    <row r="239" spans="1:29" ht="15.75" customHeight="1">
      <c r="A239" s="2" t="s">
        <v>295</v>
      </c>
      <c r="B239" s="37" t="s">
        <v>160</v>
      </c>
      <c r="C239" s="11">
        <v>8.157</v>
      </c>
      <c r="D239" s="11">
        <v>1113926</v>
      </c>
      <c r="E239" s="30"/>
      <c r="F239" s="11">
        <v>10.787000000000001</v>
      </c>
      <c r="G239" s="11">
        <v>274494</v>
      </c>
      <c r="I239" s="26">
        <v>11.423</v>
      </c>
      <c r="J239" s="11">
        <v>4012994</v>
      </c>
      <c r="K239" s="41"/>
      <c r="L239" s="11">
        <v>12.84</v>
      </c>
      <c r="M239" s="11">
        <v>3335509</v>
      </c>
      <c r="O239" s="26">
        <v>16.207000000000001</v>
      </c>
      <c r="P239" s="11">
        <v>1400141</v>
      </c>
      <c r="Q239" s="44"/>
      <c r="T239" s="3"/>
      <c r="U239" s="11">
        <v>18.893000000000001</v>
      </c>
      <c r="V239" s="11">
        <v>114632</v>
      </c>
      <c r="W239" s="14"/>
      <c r="X239" s="11">
        <v>19.34</v>
      </c>
      <c r="Y239" s="11">
        <v>3341297</v>
      </c>
      <c r="Z239" s="49"/>
      <c r="AC239" s="3"/>
    </row>
    <row r="240" spans="1:29" ht="15.75" customHeight="1">
      <c r="A240" s="2" t="s">
        <v>296</v>
      </c>
      <c r="B240" s="37" t="s">
        <v>164</v>
      </c>
      <c r="C240" s="11">
        <v>8.157</v>
      </c>
      <c r="D240" s="11">
        <v>2117026</v>
      </c>
      <c r="E240" s="30"/>
      <c r="F240" s="11">
        <v>10.563000000000001</v>
      </c>
      <c r="G240" s="11">
        <v>831803</v>
      </c>
      <c r="I240" s="26">
        <v>11.433</v>
      </c>
      <c r="J240" s="11">
        <v>7034316</v>
      </c>
      <c r="K240" s="41"/>
      <c r="L240" s="11">
        <v>12.853</v>
      </c>
      <c r="M240" s="11">
        <v>4873122</v>
      </c>
      <c r="O240" s="26">
        <v>16.2</v>
      </c>
      <c r="P240" s="11">
        <v>1326480</v>
      </c>
      <c r="Q240" s="44"/>
      <c r="T240" s="3"/>
      <c r="U240" s="11">
        <v>18.887</v>
      </c>
      <c r="V240" s="11">
        <v>105087</v>
      </c>
      <c r="W240" s="14"/>
      <c r="X240" s="11">
        <v>19.34</v>
      </c>
      <c r="Y240" s="11">
        <v>2425072</v>
      </c>
      <c r="Z240" s="49"/>
      <c r="AC240" s="3"/>
    </row>
    <row r="241" spans="1:29" ht="15.75" customHeight="1">
      <c r="A241" s="2" t="s">
        <v>297</v>
      </c>
      <c r="B241" s="37" t="s">
        <v>164</v>
      </c>
      <c r="C241" s="11">
        <v>8.15</v>
      </c>
      <c r="D241" s="11">
        <v>1056306</v>
      </c>
      <c r="E241" s="30"/>
      <c r="F241" s="11">
        <v>10.563000000000001</v>
      </c>
      <c r="G241" s="11">
        <v>897573</v>
      </c>
      <c r="I241" s="26">
        <v>11.436999999999999</v>
      </c>
      <c r="J241" s="11">
        <v>6951054</v>
      </c>
      <c r="K241" s="41"/>
      <c r="L241" s="11">
        <v>12.853</v>
      </c>
      <c r="M241" s="11">
        <v>4679602</v>
      </c>
      <c r="O241" s="26">
        <v>16.202999999999999</v>
      </c>
      <c r="P241" s="11">
        <v>1271837</v>
      </c>
      <c r="Q241" s="44"/>
      <c r="T241" s="3"/>
      <c r="U241" s="11">
        <v>18.907</v>
      </c>
      <c r="V241" s="11">
        <v>188400</v>
      </c>
      <c r="W241" s="14"/>
      <c r="X241" s="11">
        <v>19.343</v>
      </c>
      <c r="Y241" s="11">
        <v>2278592</v>
      </c>
      <c r="Z241" s="49"/>
      <c r="AC241" s="3"/>
    </row>
    <row r="242" spans="1:29" ht="15.75" customHeight="1">
      <c r="A242" s="2" t="s">
        <v>298</v>
      </c>
      <c r="B242" s="37" t="s">
        <v>164</v>
      </c>
      <c r="C242" s="11">
        <v>8.1470000000000002</v>
      </c>
      <c r="D242" s="11">
        <v>1222720</v>
      </c>
      <c r="E242" s="30"/>
      <c r="F242" s="11">
        <v>10.563000000000001</v>
      </c>
      <c r="G242" s="11">
        <v>1110250</v>
      </c>
      <c r="I242" s="26">
        <v>11.44</v>
      </c>
      <c r="J242" s="11">
        <v>6856256</v>
      </c>
      <c r="K242" s="41"/>
      <c r="L242" s="11">
        <v>12.853</v>
      </c>
      <c r="M242" s="11">
        <v>5016369</v>
      </c>
      <c r="O242" s="26">
        <v>16.23</v>
      </c>
      <c r="P242" s="11">
        <v>872211</v>
      </c>
      <c r="Q242" s="44"/>
      <c r="T242" s="3"/>
      <c r="U242" s="11">
        <v>18.893000000000001</v>
      </c>
      <c r="V242" s="11">
        <v>54420</v>
      </c>
      <c r="W242" s="14"/>
      <c r="X242" s="11">
        <v>19.337</v>
      </c>
      <c r="Y242" s="11">
        <v>2349360</v>
      </c>
      <c r="Z242" s="49"/>
      <c r="AC242" s="3"/>
    </row>
    <row r="243" spans="1:29" ht="15.75" customHeight="1">
      <c r="A243" s="2" t="s">
        <v>299</v>
      </c>
      <c r="B243" s="37" t="s">
        <v>168</v>
      </c>
      <c r="C243" s="11">
        <v>8.1530000000000005</v>
      </c>
      <c r="D243" s="11">
        <v>1112733</v>
      </c>
      <c r="E243" s="30"/>
      <c r="F243" s="11">
        <v>10.563000000000001</v>
      </c>
      <c r="G243" s="11">
        <v>940187</v>
      </c>
      <c r="I243" s="26">
        <v>11.443</v>
      </c>
      <c r="J243" s="11">
        <v>5964676</v>
      </c>
      <c r="K243" s="41"/>
      <c r="L243" s="11">
        <v>12.853</v>
      </c>
      <c r="M243" s="11">
        <v>4538282</v>
      </c>
      <c r="O243" s="26">
        <v>16.247</v>
      </c>
      <c r="P243" s="11">
        <v>1469746</v>
      </c>
      <c r="Q243" s="44"/>
      <c r="T243" s="3"/>
      <c r="U243" s="11">
        <v>18.927</v>
      </c>
      <c r="V243" s="11">
        <v>34027</v>
      </c>
      <c r="W243" s="14"/>
      <c r="Z243" s="49"/>
      <c r="AA243" s="11">
        <v>19.792999999999999</v>
      </c>
      <c r="AB243" s="11">
        <v>1382106</v>
      </c>
      <c r="AC243" s="3"/>
    </row>
    <row r="244" spans="1:29" ht="15.75" customHeight="1">
      <c r="A244" s="2" t="s">
        <v>300</v>
      </c>
      <c r="B244" s="37" t="s">
        <v>168</v>
      </c>
      <c r="C244" s="11">
        <v>8.1470000000000002</v>
      </c>
      <c r="D244" s="11">
        <v>914098</v>
      </c>
      <c r="E244" s="30"/>
      <c r="F244" s="11">
        <v>10.563000000000001</v>
      </c>
      <c r="G244" s="11">
        <v>851214</v>
      </c>
      <c r="I244" s="26">
        <v>11.446999999999999</v>
      </c>
      <c r="J244" s="11">
        <v>6002189</v>
      </c>
      <c r="K244" s="41"/>
      <c r="L244" s="11">
        <v>12.853</v>
      </c>
      <c r="M244" s="11">
        <v>4305572</v>
      </c>
      <c r="O244" s="26">
        <v>16.260000000000002</v>
      </c>
      <c r="P244" s="11">
        <v>1520812</v>
      </c>
      <c r="Q244" s="44"/>
      <c r="T244" s="3"/>
      <c r="U244" s="11">
        <v>18.940000000000001</v>
      </c>
      <c r="V244" s="11">
        <v>2949</v>
      </c>
      <c r="W244" s="14"/>
      <c r="Z244" s="49"/>
      <c r="AA244" s="11">
        <v>19.806999999999999</v>
      </c>
      <c r="AB244" s="11">
        <v>2409848</v>
      </c>
      <c r="AC244" s="3"/>
    </row>
    <row r="245" spans="1:29" ht="15.75" customHeight="1">
      <c r="A245" s="2" t="s">
        <v>301</v>
      </c>
      <c r="B245" s="37" t="s">
        <v>168</v>
      </c>
      <c r="C245" s="11">
        <v>8.1530000000000005</v>
      </c>
      <c r="D245" s="11">
        <v>1102895</v>
      </c>
      <c r="E245" s="30"/>
      <c r="F245" s="11">
        <v>10.567</v>
      </c>
      <c r="G245" s="11">
        <v>887418</v>
      </c>
      <c r="I245" s="26">
        <v>11.457000000000001</v>
      </c>
      <c r="J245" s="11">
        <v>6748598</v>
      </c>
      <c r="K245" s="41"/>
      <c r="L245" s="11">
        <v>12.85</v>
      </c>
      <c r="M245" s="11">
        <v>4177517</v>
      </c>
      <c r="O245" s="26">
        <v>16.277000000000001</v>
      </c>
      <c r="P245" s="11">
        <v>1697962</v>
      </c>
      <c r="Q245" s="44"/>
      <c r="T245" s="3"/>
      <c r="U245" s="11">
        <v>18.952999999999999</v>
      </c>
      <c r="V245" s="11">
        <v>20220</v>
      </c>
      <c r="W245" s="14"/>
      <c r="Z245" s="49"/>
      <c r="AA245" s="11">
        <v>19.792999999999999</v>
      </c>
      <c r="AB245" s="11">
        <v>2063040</v>
      </c>
      <c r="AC245" s="3"/>
    </row>
    <row r="246" spans="1:29" ht="15.75" customHeight="1">
      <c r="A246" s="2" t="s">
        <v>302</v>
      </c>
      <c r="B246" s="37" t="s">
        <v>172</v>
      </c>
      <c r="C246" s="11">
        <v>8.16</v>
      </c>
      <c r="D246" s="11">
        <v>2132130</v>
      </c>
      <c r="E246" s="30"/>
      <c r="F246" s="11">
        <v>10.563000000000001</v>
      </c>
      <c r="G246" s="11">
        <v>842651</v>
      </c>
      <c r="I246" s="26">
        <v>11.462999999999999</v>
      </c>
      <c r="J246" s="11">
        <v>7839507</v>
      </c>
      <c r="K246" s="41"/>
      <c r="L246" s="11">
        <v>12.85</v>
      </c>
      <c r="M246" s="11">
        <v>4221184</v>
      </c>
      <c r="O246" s="26">
        <v>16.297000000000001</v>
      </c>
      <c r="P246" s="11">
        <v>1554601</v>
      </c>
      <c r="Q246" s="44"/>
      <c r="T246" s="3"/>
      <c r="U246" s="11">
        <v>18.95</v>
      </c>
      <c r="V246" s="11">
        <v>26516</v>
      </c>
      <c r="W246" s="14"/>
      <c r="X246" s="11">
        <v>19.34</v>
      </c>
      <c r="Y246" s="11">
        <v>843836</v>
      </c>
      <c r="Z246" s="49"/>
      <c r="AC246" s="3"/>
    </row>
    <row r="247" spans="1:29" ht="15.75" customHeight="1">
      <c r="A247" s="2" t="s">
        <v>303</v>
      </c>
      <c r="B247" s="37" t="s">
        <v>172</v>
      </c>
      <c r="C247" s="11">
        <v>8.1530000000000005</v>
      </c>
      <c r="D247" s="11">
        <v>969244</v>
      </c>
      <c r="E247" s="30"/>
      <c r="F247" s="11">
        <v>10.557</v>
      </c>
      <c r="G247" s="11">
        <v>728103</v>
      </c>
      <c r="I247" s="26">
        <v>11.457000000000001</v>
      </c>
      <c r="J247" s="11">
        <v>7043156</v>
      </c>
      <c r="K247" s="41"/>
      <c r="L247" s="11">
        <v>12.847</v>
      </c>
      <c r="M247" s="11">
        <v>3840777</v>
      </c>
      <c r="O247" s="26">
        <v>16.306999999999999</v>
      </c>
      <c r="P247" s="11">
        <v>1552036</v>
      </c>
      <c r="Q247" s="44"/>
      <c r="T247" s="3"/>
      <c r="U247" s="11">
        <v>18.96</v>
      </c>
      <c r="V247" s="11">
        <v>10765</v>
      </c>
      <c r="W247" s="14"/>
      <c r="X247" s="11">
        <v>19.347000000000001</v>
      </c>
      <c r="Y247" s="11">
        <v>1170399</v>
      </c>
      <c r="Z247" s="49"/>
      <c r="AC247" s="3"/>
    </row>
    <row r="248" spans="1:29" ht="15.75" customHeight="1">
      <c r="A248" s="2" t="s">
        <v>304</v>
      </c>
      <c r="B248" s="37" t="s">
        <v>172</v>
      </c>
      <c r="C248" s="11">
        <v>8.1669999999999998</v>
      </c>
      <c r="D248" s="11">
        <v>1661223</v>
      </c>
      <c r="E248" s="30"/>
      <c r="F248" s="11">
        <v>10.56</v>
      </c>
      <c r="G248" s="11">
        <v>899971</v>
      </c>
      <c r="I248" s="26">
        <v>11.462999999999999</v>
      </c>
      <c r="J248" s="11">
        <v>7048910</v>
      </c>
      <c r="K248" s="41"/>
      <c r="L248" s="11">
        <v>12.85</v>
      </c>
      <c r="M248" s="11">
        <v>4172933</v>
      </c>
      <c r="O248" s="26">
        <v>16.283000000000001</v>
      </c>
      <c r="P248" s="11">
        <v>1083689</v>
      </c>
      <c r="Q248" s="44"/>
      <c r="T248" s="3"/>
      <c r="U248" s="11">
        <v>18.986999999999998</v>
      </c>
      <c r="V248" s="11">
        <v>21149</v>
      </c>
      <c r="W248" s="14"/>
      <c r="X248" s="11">
        <v>19.343</v>
      </c>
      <c r="Y248" s="11">
        <v>1955154</v>
      </c>
      <c r="Z248" s="49"/>
      <c r="AC248" s="3"/>
    </row>
    <row r="249" spans="1:29" ht="15.75" customHeight="1">
      <c r="A249" s="2" t="s">
        <v>305</v>
      </c>
      <c r="B249" s="38" t="s">
        <v>176</v>
      </c>
      <c r="C249" s="11">
        <v>8.1630000000000003</v>
      </c>
      <c r="D249" s="11">
        <v>1731691</v>
      </c>
      <c r="E249" s="30"/>
      <c r="F249" s="11">
        <v>10.82</v>
      </c>
      <c r="G249" s="11">
        <v>471590</v>
      </c>
      <c r="I249" s="26">
        <v>11.46</v>
      </c>
      <c r="J249" s="11">
        <v>4633412</v>
      </c>
      <c r="K249" s="41"/>
      <c r="L249" s="11">
        <v>12.853</v>
      </c>
      <c r="M249" s="11">
        <v>4126265</v>
      </c>
      <c r="O249" s="26">
        <v>16.303000000000001</v>
      </c>
      <c r="P249" s="11">
        <v>1418989</v>
      </c>
      <c r="Q249" s="44"/>
      <c r="U249" s="11">
        <v>19.3</v>
      </c>
      <c r="V249" s="11">
        <v>10551</v>
      </c>
      <c r="W249" s="14"/>
      <c r="X249" s="11">
        <v>19.34</v>
      </c>
      <c r="Y249" s="11">
        <v>2993412</v>
      </c>
      <c r="Z249" s="49"/>
      <c r="AC249" s="3"/>
    </row>
    <row r="250" spans="1:29" ht="15.75" customHeight="1">
      <c r="A250" s="2" t="s">
        <v>306</v>
      </c>
      <c r="B250" s="38" t="s">
        <v>176</v>
      </c>
      <c r="C250" t="s">
        <v>217</v>
      </c>
      <c r="D250" t="s">
        <v>217</v>
      </c>
      <c r="E250" t="s">
        <v>217</v>
      </c>
      <c r="F250" t="s">
        <v>217</v>
      </c>
      <c r="G250" t="s">
        <v>217</v>
      </c>
      <c r="I250" t="s">
        <v>217</v>
      </c>
      <c r="J250" t="s">
        <v>217</v>
      </c>
      <c r="K250" s="41"/>
      <c r="L250" t="s">
        <v>217</v>
      </c>
      <c r="M250" t="s">
        <v>217</v>
      </c>
      <c r="O250" t="s">
        <v>217</v>
      </c>
      <c r="P250" t="s">
        <v>217</v>
      </c>
      <c r="Q250" s="44"/>
      <c r="R250" t="s">
        <v>217</v>
      </c>
      <c r="S250" t="s">
        <v>217</v>
      </c>
      <c r="T250" t="s">
        <v>217</v>
      </c>
      <c r="U250" t="s">
        <v>217</v>
      </c>
      <c r="V250" t="s">
        <v>217</v>
      </c>
      <c r="W250" t="s">
        <v>217</v>
      </c>
      <c r="X250" t="s">
        <v>217</v>
      </c>
      <c r="Y250" t="s">
        <v>217</v>
      </c>
      <c r="Z250" s="49"/>
      <c r="AA250" t="s">
        <v>217</v>
      </c>
      <c r="AB250" t="s">
        <v>217</v>
      </c>
      <c r="AC250" t="s">
        <v>217</v>
      </c>
    </row>
    <row r="251" spans="1:29" ht="15.75" customHeight="1">
      <c r="A251" s="2" t="s">
        <v>307</v>
      </c>
      <c r="B251" s="38" t="s">
        <v>176</v>
      </c>
      <c r="C251" t="s">
        <v>217</v>
      </c>
      <c r="D251" t="s">
        <v>217</v>
      </c>
      <c r="E251" t="s">
        <v>217</v>
      </c>
      <c r="F251" t="s">
        <v>217</v>
      </c>
      <c r="G251" t="s">
        <v>217</v>
      </c>
      <c r="I251" t="s">
        <v>217</v>
      </c>
      <c r="J251" t="s">
        <v>217</v>
      </c>
      <c r="K251" s="41"/>
      <c r="L251" t="s">
        <v>217</v>
      </c>
      <c r="M251" t="s">
        <v>217</v>
      </c>
      <c r="O251" t="s">
        <v>217</v>
      </c>
      <c r="P251" t="s">
        <v>217</v>
      </c>
      <c r="Q251" s="44"/>
      <c r="R251" t="s">
        <v>217</v>
      </c>
      <c r="S251" t="s">
        <v>217</v>
      </c>
      <c r="T251" t="s">
        <v>217</v>
      </c>
      <c r="U251" t="s">
        <v>217</v>
      </c>
      <c r="V251" t="s">
        <v>217</v>
      </c>
      <c r="W251" t="s">
        <v>217</v>
      </c>
      <c r="X251" t="s">
        <v>217</v>
      </c>
      <c r="Y251" t="s">
        <v>217</v>
      </c>
      <c r="Z251" s="49"/>
      <c r="AA251" t="s">
        <v>217</v>
      </c>
      <c r="AB251" t="s">
        <v>217</v>
      </c>
      <c r="AC251" t="s">
        <v>217</v>
      </c>
    </row>
    <row r="252" spans="1:29" ht="15.75" customHeight="1">
      <c r="A252" s="2" t="s">
        <v>308</v>
      </c>
      <c r="B252" s="38" t="s">
        <v>180</v>
      </c>
      <c r="C252" s="11">
        <v>8.157</v>
      </c>
      <c r="D252" s="11">
        <v>1230028</v>
      </c>
      <c r="E252" s="30"/>
      <c r="F252" s="11">
        <v>10.82</v>
      </c>
      <c r="G252" s="11">
        <v>503006</v>
      </c>
      <c r="I252" s="26">
        <v>11.47</v>
      </c>
      <c r="J252" s="11">
        <v>5550565</v>
      </c>
      <c r="K252" s="41"/>
      <c r="L252" s="11">
        <v>12.86</v>
      </c>
      <c r="M252" s="11">
        <v>4558507</v>
      </c>
      <c r="O252" s="26">
        <v>16.3</v>
      </c>
      <c r="P252" s="11">
        <v>675109</v>
      </c>
      <c r="Q252" s="44"/>
      <c r="U252" s="11">
        <v>19.157</v>
      </c>
      <c r="V252" s="11">
        <v>28089</v>
      </c>
      <c r="W252" s="14"/>
      <c r="X252" s="11">
        <v>19.34</v>
      </c>
      <c r="Y252" s="11">
        <v>3428754</v>
      </c>
      <c r="Z252" s="49"/>
      <c r="AC252" s="3"/>
    </row>
    <row r="253" spans="1:29" ht="15.75" customHeight="1">
      <c r="A253" s="2" t="s">
        <v>309</v>
      </c>
      <c r="B253" s="38" t="s">
        <v>180</v>
      </c>
      <c r="C253" s="11">
        <v>8.16</v>
      </c>
      <c r="D253" s="11">
        <v>1981270</v>
      </c>
      <c r="E253" s="30"/>
      <c r="F253" s="11">
        <v>10.817</v>
      </c>
      <c r="G253" s="11">
        <v>546804</v>
      </c>
      <c r="I253" s="26">
        <v>11.467000000000001</v>
      </c>
      <c r="J253" s="11">
        <v>5416635</v>
      </c>
      <c r="K253" s="41"/>
      <c r="L253" s="11">
        <v>12.856999999999999</v>
      </c>
      <c r="M253" s="11">
        <v>4469139</v>
      </c>
      <c r="O253" s="26">
        <v>16.297000000000001</v>
      </c>
      <c r="P253" s="11">
        <v>1581148</v>
      </c>
      <c r="Q253" s="44"/>
      <c r="T253" s="3"/>
      <c r="U253" s="11">
        <v>19.332999999999998</v>
      </c>
      <c r="V253" s="11">
        <v>21907</v>
      </c>
      <c r="W253" s="14"/>
      <c r="X253" s="11">
        <v>19.34</v>
      </c>
      <c r="Y253" s="11">
        <v>3846427</v>
      </c>
      <c r="Z253" s="49"/>
      <c r="AC253" s="3"/>
    </row>
    <row r="254" spans="1:29" ht="15.75" customHeight="1">
      <c r="A254" s="2" t="s">
        <v>310</v>
      </c>
      <c r="B254" s="38" t="s">
        <v>180</v>
      </c>
      <c r="C254" s="11">
        <v>8.1630000000000003</v>
      </c>
      <c r="D254" s="11">
        <v>1784186</v>
      </c>
      <c r="E254" s="30"/>
      <c r="F254" s="11">
        <v>10.817</v>
      </c>
      <c r="G254" s="11">
        <v>447302</v>
      </c>
      <c r="I254" s="26">
        <v>11.47</v>
      </c>
      <c r="J254" s="11">
        <v>5454920</v>
      </c>
      <c r="K254" s="41"/>
      <c r="L254" s="11">
        <v>12.856999999999999</v>
      </c>
      <c r="M254" s="11">
        <v>4390036</v>
      </c>
      <c r="O254" s="26">
        <v>16.292999999999999</v>
      </c>
      <c r="P254" s="11">
        <v>1547414</v>
      </c>
      <c r="Q254" s="44"/>
      <c r="T254" s="3"/>
      <c r="U254" s="11">
        <v>19.332999999999998</v>
      </c>
      <c r="V254" s="11">
        <v>49416</v>
      </c>
      <c r="W254" s="14"/>
      <c r="X254" s="11">
        <v>19.337</v>
      </c>
      <c r="Y254" s="11">
        <v>5542747</v>
      </c>
      <c r="Z254" s="49"/>
      <c r="AC254" s="3"/>
    </row>
    <row r="255" spans="1:29" ht="15.75" customHeight="1">
      <c r="A255" s="2" t="s">
        <v>311</v>
      </c>
      <c r="B255" s="38" t="s">
        <v>184</v>
      </c>
      <c r="C255" s="11">
        <v>8.1630000000000003</v>
      </c>
      <c r="D255" s="11">
        <v>1732644</v>
      </c>
      <c r="E255" s="30"/>
      <c r="F255" s="11">
        <v>10.82</v>
      </c>
      <c r="G255" s="11">
        <v>525225</v>
      </c>
      <c r="I255" s="26">
        <v>11.462999999999999</v>
      </c>
      <c r="J255" s="11">
        <v>4815739</v>
      </c>
      <c r="K255" s="41"/>
      <c r="L255" s="11">
        <v>12.863</v>
      </c>
      <c r="M255" s="11">
        <v>4900974</v>
      </c>
      <c r="O255" s="26">
        <v>16.303000000000001</v>
      </c>
      <c r="P255" s="11">
        <v>1599775</v>
      </c>
      <c r="Q255" s="44"/>
      <c r="T255" s="3"/>
      <c r="U255" s="11">
        <v>19.329999999999998</v>
      </c>
      <c r="V255" s="11">
        <v>28413</v>
      </c>
      <c r="W255" s="14"/>
      <c r="X255" s="11">
        <v>19.347000000000001</v>
      </c>
      <c r="Y255" s="11">
        <v>1306916</v>
      </c>
      <c r="Z255" s="49"/>
      <c r="AC255" s="3"/>
    </row>
    <row r="256" spans="1:29" ht="15.75" customHeight="1">
      <c r="A256" s="2" t="s">
        <v>312</v>
      </c>
      <c r="B256" s="38" t="s">
        <v>184</v>
      </c>
      <c r="C256" s="11">
        <v>8.1430000000000007</v>
      </c>
      <c r="D256" s="11">
        <v>1199257</v>
      </c>
      <c r="E256" s="30"/>
      <c r="F256" s="11">
        <v>10.813000000000001</v>
      </c>
      <c r="G256" s="11">
        <v>578487</v>
      </c>
      <c r="I256" s="26">
        <v>11.462999999999999</v>
      </c>
      <c r="J256" s="11">
        <v>5449500</v>
      </c>
      <c r="K256" s="41"/>
      <c r="L256" s="11">
        <v>12.856999999999999</v>
      </c>
      <c r="M256" s="11">
        <v>4792261</v>
      </c>
      <c r="O256" s="26">
        <v>16.28</v>
      </c>
      <c r="P256" s="11">
        <v>1790214</v>
      </c>
      <c r="Q256" s="44"/>
      <c r="T256" s="3"/>
      <c r="U256" s="11">
        <v>19.3</v>
      </c>
      <c r="V256" s="11">
        <v>9964</v>
      </c>
      <c r="W256" s="14"/>
      <c r="X256" s="11">
        <v>19.350000000000001</v>
      </c>
      <c r="Y256" s="11">
        <v>1325916</v>
      </c>
      <c r="Z256" s="49"/>
      <c r="AC256" s="3"/>
    </row>
    <row r="257" spans="1:29" ht="15.75" customHeight="1">
      <c r="A257" s="4" t="s">
        <v>313</v>
      </c>
      <c r="B257" s="38" t="s">
        <v>184</v>
      </c>
      <c r="C257" s="24">
        <v>8.157</v>
      </c>
      <c r="D257" s="24">
        <v>1105437</v>
      </c>
      <c r="E257" s="31"/>
      <c r="F257" s="24">
        <v>10.81</v>
      </c>
      <c r="G257" s="24">
        <v>573637</v>
      </c>
      <c r="H257" s="43"/>
      <c r="I257" s="27">
        <v>11.467000000000001</v>
      </c>
      <c r="J257" s="24">
        <v>5722641</v>
      </c>
      <c r="K257" s="42"/>
      <c r="L257" s="11">
        <v>12.856999999999999</v>
      </c>
      <c r="M257" s="11">
        <v>4595551</v>
      </c>
      <c r="N257" s="48"/>
      <c r="O257" s="27">
        <v>16.277000000000001</v>
      </c>
      <c r="P257" s="24">
        <v>2117804</v>
      </c>
      <c r="Q257" s="44"/>
      <c r="R257" s="7"/>
      <c r="S257" s="7"/>
      <c r="T257" s="5"/>
      <c r="U257" s="11">
        <v>19.123000000000001</v>
      </c>
      <c r="V257" s="11">
        <v>19712</v>
      </c>
      <c r="W257" s="33"/>
      <c r="X257" s="11">
        <v>19.350000000000001</v>
      </c>
      <c r="Y257" s="11">
        <v>1691202</v>
      </c>
      <c r="Z257" s="50"/>
      <c r="AA257" s="15"/>
      <c r="AB257" s="7"/>
      <c r="AC257" s="5"/>
    </row>
  </sheetData>
  <mergeCells count="16">
    <mergeCell ref="G2:H2"/>
    <mergeCell ref="D2:E2"/>
    <mergeCell ref="Y3:Z3"/>
    <mergeCell ref="V3:W3"/>
    <mergeCell ref="S3:T3"/>
    <mergeCell ref="P3:Q3"/>
    <mergeCell ref="M3:N3"/>
    <mergeCell ref="J3:K3"/>
    <mergeCell ref="G3:H3"/>
    <mergeCell ref="D3:E3"/>
    <mergeCell ref="Y2:Z2"/>
    <mergeCell ref="V2:W2"/>
    <mergeCell ref="S2:T2"/>
    <mergeCell ref="P2:Q2"/>
    <mergeCell ref="M2:N2"/>
    <mergeCell ref="J2:K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3"/>
  <sheetViews>
    <sheetView topLeftCell="D1" workbookViewId="0">
      <selection activeCell="D1" sqref="D1:H1048576"/>
    </sheetView>
  </sheetViews>
  <sheetFormatPr defaultColWidth="11" defaultRowHeight="15"/>
  <cols>
    <col min="1" max="1" width="13.6640625" bestFit="1" customWidth="1"/>
    <col min="2" max="2" width="5.77734375" bestFit="1" customWidth="1"/>
    <col min="3" max="3" width="32.109375" bestFit="1" customWidth="1"/>
    <col min="4" max="4" width="36.21875" bestFit="1" customWidth="1"/>
    <col min="5" max="5" width="30.109375" bestFit="1" customWidth="1"/>
    <col min="6" max="9" width="11.6640625" style="41" bestFit="1" customWidth="1"/>
    <col min="10" max="11" width="10.88671875" style="51"/>
    <col min="12" max="12" width="10.88671875" style="55"/>
    <col min="13" max="13" width="10.88671875" style="51"/>
    <col min="15" max="15" width="14" style="41" bestFit="1" customWidth="1"/>
  </cols>
  <sheetData>
    <row r="1" spans="1:15">
      <c r="A1" t="s">
        <v>8</v>
      </c>
      <c r="B1" t="s">
        <v>337</v>
      </c>
      <c r="C1" t="s">
        <v>9</v>
      </c>
      <c r="D1" t="s">
        <v>342</v>
      </c>
      <c r="E1" t="s">
        <v>330</v>
      </c>
      <c r="F1" s="52" t="s">
        <v>1</v>
      </c>
      <c r="G1" s="52" t="s">
        <v>2</v>
      </c>
      <c r="H1" s="52" t="s">
        <v>3</v>
      </c>
      <c r="I1" s="53" t="s">
        <v>4</v>
      </c>
      <c r="J1" s="52" t="s">
        <v>314</v>
      </c>
      <c r="K1" s="52" t="s">
        <v>7</v>
      </c>
      <c r="L1" s="56" t="s">
        <v>315</v>
      </c>
      <c r="M1" s="52" t="s">
        <v>316</v>
      </c>
      <c r="N1" s="52" t="s">
        <v>340</v>
      </c>
      <c r="O1" s="57" t="s">
        <v>341</v>
      </c>
    </row>
    <row r="2" spans="1:15">
      <c r="A2" t="s">
        <v>19</v>
      </c>
      <c r="B2" t="s">
        <v>338</v>
      </c>
      <c r="C2" t="s">
        <v>20</v>
      </c>
      <c r="D2" t="s">
        <v>320</v>
      </c>
      <c r="E2" t="s">
        <v>332</v>
      </c>
      <c r="F2" s="41">
        <v>0.45</v>
      </c>
      <c r="G2" s="41">
        <v>3.1120000000000001</v>
      </c>
      <c r="H2" s="41">
        <v>2.3210000000000002</v>
      </c>
      <c r="I2" s="41">
        <v>0</v>
      </c>
      <c r="J2" s="51">
        <v>1.57</v>
      </c>
      <c r="K2" s="51">
        <v>4.2699999999999996</v>
      </c>
      <c r="L2" s="55">
        <v>156.69999999999999</v>
      </c>
      <c r="M2" s="51">
        <v>0.76</v>
      </c>
      <c r="N2" s="51">
        <v>3.74</v>
      </c>
      <c r="O2" s="41">
        <v>8.5310000000000006</v>
      </c>
    </row>
    <row r="3" spans="1:15">
      <c r="A3" t="s">
        <v>21</v>
      </c>
      <c r="B3" t="str">
        <f>B2</f>
        <v>Trial 1</v>
      </c>
      <c r="C3" t="s">
        <v>20</v>
      </c>
      <c r="D3" t="s">
        <v>320</v>
      </c>
      <c r="E3" t="s">
        <v>332</v>
      </c>
      <c r="F3" s="41">
        <v>0.39400000000000002</v>
      </c>
      <c r="G3" s="41">
        <v>3.0379999999999998</v>
      </c>
      <c r="H3" s="41">
        <v>2.2650000000000001</v>
      </c>
      <c r="I3" s="41">
        <v>0</v>
      </c>
      <c r="J3" s="51">
        <v>2.72</v>
      </c>
      <c r="K3" s="51">
        <v>5.23</v>
      </c>
      <c r="L3" s="55">
        <v>165.2</v>
      </c>
      <c r="M3" s="51">
        <v>0.49</v>
      </c>
      <c r="N3" s="51">
        <v>3.64</v>
      </c>
      <c r="O3" s="41">
        <v>7.1109999999999998</v>
      </c>
    </row>
    <row r="4" spans="1:15">
      <c r="A4" t="s">
        <v>22</v>
      </c>
      <c r="B4" t="str">
        <f t="shared" ref="B4:B67" si="0">B3</f>
        <v>Trial 1</v>
      </c>
      <c r="C4" t="s">
        <v>20</v>
      </c>
      <c r="D4" t="s">
        <v>320</v>
      </c>
      <c r="E4" t="s">
        <v>332</v>
      </c>
      <c r="F4" s="41">
        <v>0.47</v>
      </c>
      <c r="G4" s="41">
        <v>2.9430000000000001</v>
      </c>
      <c r="H4" s="41">
        <v>2.1949999999999998</v>
      </c>
      <c r="I4" s="41">
        <v>0</v>
      </c>
      <c r="J4" s="51">
        <v>1.77</v>
      </c>
      <c r="K4" s="51">
        <v>4.54</v>
      </c>
      <c r="L4" s="55">
        <v>168.6</v>
      </c>
      <c r="M4" s="51">
        <v>1.08</v>
      </c>
      <c r="N4" s="51">
        <v>3.71</v>
      </c>
      <c r="O4" s="41">
        <v>7.0049999999999999</v>
      </c>
    </row>
    <row r="5" spans="1:15">
      <c r="A5" t="s">
        <v>23</v>
      </c>
      <c r="B5" t="str">
        <f t="shared" si="0"/>
        <v>Trial 1</v>
      </c>
      <c r="C5" t="s">
        <v>24</v>
      </c>
      <c r="D5" t="s">
        <v>132</v>
      </c>
      <c r="E5" t="s">
        <v>332</v>
      </c>
      <c r="F5" s="41">
        <v>0.36899999999999999</v>
      </c>
      <c r="G5" s="41">
        <v>2.6379999999999999</v>
      </c>
      <c r="H5" s="41">
        <v>1.93</v>
      </c>
      <c r="I5" s="41">
        <v>0.47199999999999998</v>
      </c>
      <c r="J5" s="51">
        <v>1.01</v>
      </c>
      <c r="K5" s="51">
        <v>3.79</v>
      </c>
      <c r="L5" s="55">
        <v>151.80000000000001</v>
      </c>
      <c r="M5" s="51">
        <v>1.23</v>
      </c>
      <c r="N5" s="51">
        <v>3.67</v>
      </c>
      <c r="O5" s="41">
        <v>5.1429999999999998</v>
      </c>
    </row>
    <row r="6" spans="1:15">
      <c r="A6" t="s">
        <v>25</v>
      </c>
      <c r="B6" t="str">
        <f t="shared" si="0"/>
        <v>Trial 1</v>
      </c>
      <c r="C6" t="s">
        <v>24</v>
      </c>
      <c r="D6" t="s">
        <v>132</v>
      </c>
      <c r="E6" t="s">
        <v>332</v>
      </c>
      <c r="F6" s="41">
        <v>0.42799999999999999</v>
      </c>
      <c r="G6" s="41">
        <v>3.0049999999999999</v>
      </c>
      <c r="H6" s="41">
        <v>2.1589999999999998</v>
      </c>
      <c r="I6" s="41">
        <v>0</v>
      </c>
      <c r="J6" s="51">
        <v>2.54</v>
      </c>
      <c r="K6" s="51">
        <v>4.59</v>
      </c>
      <c r="L6" s="55">
        <v>157.9</v>
      </c>
      <c r="M6" s="51">
        <v>0.64</v>
      </c>
      <c r="N6" s="51">
        <v>3.57</v>
      </c>
      <c r="O6" s="41">
        <v>6.4960000000000004</v>
      </c>
    </row>
    <row r="7" spans="1:15">
      <c r="A7" t="s">
        <v>26</v>
      </c>
      <c r="B7" t="str">
        <f t="shared" si="0"/>
        <v>Trial 1</v>
      </c>
      <c r="C7" t="s">
        <v>24</v>
      </c>
      <c r="D7" t="s">
        <v>132</v>
      </c>
      <c r="E7" t="s">
        <v>332</v>
      </c>
      <c r="F7" s="41">
        <v>0.41</v>
      </c>
      <c r="G7" s="41">
        <v>3.177</v>
      </c>
      <c r="H7" s="41">
        <v>2.093</v>
      </c>
      <c r="I7" s="41">
        <v>0</v>
      </c>
      <c r="J7" s="51">
        <v>2.76</v>
      </c>
      <c r="K7" s="51">
        <v>4.91</v>
      </c>
      <c r="L7" s="55">
        <v>148.1</v>
      </c>
      <c r="M7" s="51">
        <v>1.04</v>
      </c>
      <c r="N7" s="51">
        <v>3.55</v>
      </c>
      <c r="O7" s="41">
        <v>6.9219999999999997</v>
      </c>
    </row>
    <row r="8" spans="1:15">
      <c r="A8" t="s">
        <v>27</v>
      </c>
      <c r="B8" t="str">
        <f t="shared" si="0"/>
        <v>Trial 1</v>
      </c>
      <c r="C8" t="s">
        <v>28</v>
      </c>
      <c r="D8" t="s">
        <v>136</v>
      </c>
      <c r="E8" t="s">
        <v>332</v>
      </c>
      <c r="F8" s="41">
        <v>0.41299999999999998</v>
      </c>
      <c r="G8" s="41">
        <v>3.43</v>
      </c>
      <c r="H8" s="41">
        <v>2.0179999999999998</v>
      </c>
      <c r="I8" s="41">
        <v>0.63900000000000001</v>
      </c>
      <c r="J8" s="51">
        <v>3.65</v>
      </c>
      <c r="K8" s="51">
        <v>4.9000000000000004</v>
      </c>
      <c r="L8" s="55">
        <v>141.6</v>
      </c>
      <c r="M8" s="51">
        <v>1.47</v>
      </c>
      <c r="N8" s="51">
        <v>3.56</v>
      </c>
      <c r="O8" s="41">
        <v>6.63</v>
      </c>
    </row>
    <row r="9" spans="1:15">
      <c r="A9" t="s">
        <v>29</v>
      </c>
      <c r="B9" t="str">
        <f t="shared" si="0"/>
        <v>Trial 1</v>
      </c>
      <c r="C9" t="s">
        <v>28</v>
      </c>
      <c r="D9" t="s">
        <v>136</v>
      </c>
      <c r="E9" t="s">
        <v>332</v>
      </c>
      <c r="F9" s="41">
        <v>0.36099999999999999</v>
      </c>
      <c r="G9" s="41">
        <v>2.9750000000000001</v>
      </c>
      <c r="H9" s="41">
        <v>2.0510000000000002</v>
      </c>
      <c r="I9" s="41">
        <v>0.56799999999999995</v>
      </c>
      <c r="J9" s="51">
        <v>2.1</v>
      </c>
      <c r="K9" s="51">
        <v>3.97</v>
      </c>
      <c r="L9" s="55">
        <v>148.4</v>
      </c>
      <c r="M9" s="51">
        <v>0.46</v>
      </c>
      <c r="N9" s="51">
        <v>3.63</v>
      </c>
      <c r="O9" s="41">
        <v>5.4109999999999996</v>
      </c>
    </row>
    <row r="10" spans="1:15">
      <c r="A10" t="s">
        <v>30</v>
      </c>
      <c r="B10" t="str">
        <f t="shared" si="0"/>
        <v>Trial 1</v>
      </c>
      <c r="C10" t="s">
        <v>28</v>
      </c>
      <c r="D10" t="s">
        <v>136</v>
      </c>
      <c r="E10" t="s">
        <v>332</v>
      </c>
      <c r="F10" s="41">
        <v>0.38700000000000001</v>
      </c>
      <c r="G10" s="41">
        <v>3.0059999999999998</v>
      </c>
      <c r="H10" s="41">
        <v>1.9810000000000001</v>
      </c>
      <c r="I10" s="41">
        <v>0.56899999999999995</v>
      </c>
      <c r="J10" s="51">
        <v>2.09</v>
      </c>
      <c r="K10" s="51">
        <v>4.42</v>
      </c>
      <c r="L10" s="55">
        <v>139.80000000000001</v>
      </c>
      <c r="M10" s="51">
        <v>1.93</v>
      </c>
      <c r="N10" s="51">
        <v>3.72</v>
      </c>
      <c r="O10" s="41">
        <v>5.4139999999999997</v>
      </c>
    </row>
    <row r="11" spans="1:15">
      <c r="A11" t="s">
        <v>31</v>
      </c>
      <c r="B11" t="str">
        <f t="shared" si="0"/>
        <v>Trial 1</v>
      </c>
      <c r="C11" t="s">
        <v>32</v>
      </c>
      <c r="D11" t="s">
        <v>321</v>
      </c>
      <c r="E11" t="s">
        <v>332</v>
      </c>
      <c r="F11" s="41">
        <v>0.40699999999999997</v>
      </c>
      <c r="G11" s="41">
        <v>2.8479999999999999</v>
      </c>
      <c r="H11" s="41">
        <v>2.1560000000000001</v>
      </c>
      <c r="I11" s="41">
        <v>0.47799999999999998</v>
      </c>
      <c r="J11" s="51">
        <v>1.77</v>
      </c>
      <c r="K11" s="51">
        <v>3.77</v>
      </c>
      <c r="L11" s="55">
        <v>149.30000000000001</v>
      </c>
      <c r="M11" s="51">
        <v>0.92</v>
      </c>
      <c r="N11" s="51">
        <v>3.66</v>
      </c>
      <c r="O11" s="41">
        <v>6.9169999999999998</v>
      </c>
    </row>
    <row r="12" spans="1:15">
      <c r="A12" t="s">
        <v>33</v>
      </c>
      <c r="B12" t="str">
        <f t="shared" si="0"/>
        <v>Trial 1</v>
      </c>
      <c r="C12" t="s">
        <v>32</v>
      </c>
      <c r="D12" t="s">
        <v>321</v>
      </c>
      <c r="E12" t="s">
        <v>332</v>
      </c>
      <c r="F12" s="41">
        <v>0.42299999999999999</v>
      </c>
      <c r="G12" s="41">
        <v>3.5230000000000001</v>
      </c>
      <c r="H12" s="41">
        <v>2.2410000000000001</v>
      </c>
      <c r="I12" s="41">
        <v>0.64600000000000002</v>
      </c>
      <c r="J12" s="51">
        <v>4.6399999999999997</v>
      </c>
      <c r="K12" s="51">
        <v>5.3</v>
      </c>
      <c r="L12" s="55">
        <v>150.6</v>
      </c>
      <c r="M12" s="51">
        <v>1.41</v>
      </c>
      <c r="N12" s="51">
        <v>3.41</v>
      </c>
      <c r="O12" s="41">
        <v>9.8640000000000008</v>
      </c>
    </row>
    <row r="13" spans="1:15">
      <c r="A13" t="s">
        <v>34</v>
      </c>
      <c r="B13" t="str">
        <f t="shared" si="0"/>
        <v>Trial 1</v>
      </c>
      <c r="C13" t="s">
        <v>32</v>
      </c>
      <c r="D13" t="s">
        <v>321</v>
      </c>
      <c r="E13" t="s">
        <v>332</v>
      </c>
      <c r="F13" s="41">
        <v>0.438</v>
      </c>
      <c r="G13" s="41">
        <v>3.3420000000000001</v>
      </c>
      <c r="H13" s="41">
        <v>2.2410000000000001</v>
      </c>
      <c r="I13" s="41">
        <v>0.63900000000000001</v>
      </c>
      <c r="J13" s="51">
        <v>2.84</v>
      </c>
      <c r="K13" s="51">
        <v>4.8600000000000003</v>
      </c>
      <c r="L13" s="55">
        <v>160.4</v>
      </c>
      <c r="M13" s="51">
        <v>1.72</v>
      </c>
      <c r="N13" s="51">
        <v>3.46</v>
      </c>
      <c r="O13" s="41">
        <v>8.5960000000000001</v>
      </c>
    </row>
    <row r="14" spans="1:15">
      <c r="A14" t="s">
        <v>35</v>
      </c>
      <c r="B14" t="str">
        <f t="shared" si="0"/>
        <v>Trial 1</v>
      </c>
      <c r="C14" t="s">
        <v>36</v>
      </c>
      <c r="D14" t="s">
        <v>322</v>
      </c>
      <c r="E14" t="s">
        <v>332</v>
      </c>
      <c r="F14" s="41">
        <v>0.34799999999999998</v>
      </c>
      <c r="G14" s="41">
        <v>3.157</v>
      </c>
      <c r="H14" s="41">
        <v>2.0630000000000002</v>
      </c>
      <c r="I14" s="41">
        <v>0</v>
      </c>
      <c r="J14" s="51">
        <v>3.21</v>
      </c>
      <c r="K14" s="51">
        <v>4.38</v>
      </c>
      <c r="L14" s="55">
        <v>149.1</v>
      </c>
      <c r="M14" s="51">
        <v>1.57</v>
      </c>
      <c r="N14" s="51">
        <v>3.22</v>
      </c>
      <c r="O14" s="41">
        <v>8.7949999999999999</v>
      </c>
    </row>
    <row r="15" spans="1:15">
      <c r="A15" t="s">
        <v>37</v>
      </c>
      <c r="B15" t="str">
        <f t="shared" si="0"/>
        <v>Trial 1</v>
      </c>
      <c r="C15" t="s">
        <v>36</v>
      </c>
      <c r="D15" t="s">
        <v>322</v>
      </c>
      <c r="E15" t="s">
        <v>332</v>
      </c>
      <c r="F15" s="41">
        <v>0.33100000000000002</v>
      </c>
      <c r="G15" s="41">
        <v>2.73</v>
      </c>
      <c r="H15" s="41">
        <v>1.9870000000000001</v>
      </c>
      <c r="I15" s="41">
        <v>0</v>
      </c>
      <c r="J15" s="51">
        <v>1.44</v>
      </c>
      <c r="K15" s="51">
        <v>3.63</v>
      </c>
      <c r="L15" s="55">
        <v>153.19999999999999</v>
      </c>
      <c r="M15" s="51">
        <v>1.26</v>
      </c>
      <c r="N15" s="51">
        <v>3.34</v>
      </c>
      <c r="O15" s="41">
        <v>7.306</v>
      </c>
    </row>
    <row r="16" spans="1:15">
      <c r="A16" t="s">
        <v>38</v>
      </c>
      <c r="B16" t="str">
        <f t="shared" si="0"/>
        <v>Trial 1</v>
      </c>
      <c r="C16" t="s">
        <v>36</v>
      </c>
      <c r="D16" t="s">
        <v>322</v>
      </c>
      <c r="E16" t="s">
        <v>332</v>
      </c>
      <c r="F16" s="41">
        <v>0.32300000000000001</v>
      </c>
      <c r="G16" s="41">
        <v>2.847</v>
      </c>
      <c r="H16" s="41">
        <v>1.8720000000000001</v>
      </c>
      <c r="I16" s="41">
        <v>0</v>
      </c>
      <c r="J16" s="51">
        <v>1.46</v>
      </c>
      <c r="K16" s="51">
        <v>3.91</v>
      </c>
      <c r="L16" s="55">
        <v>142.80000000000001</v>
      </c>
      <c r="M16" s="51">
        <v>1.1599999999999999</v>
      </c>
      <c r="N16" s="51">
        <v>3.42</v>
      </c>
      <c r="O16" s="41">
        <v>7.5789999999999997</v>
      </c>
    </row>
    <row r="17" spans="1:15">
      <c r="A17" t="s">
        <v>39</v>
      </c>
      <c r="B17" t="str">
        <f t="shared" si="0"/>
        <v>Trial 1</v>
      </c>
      <c r="C17" t="s">
        <v>40</v>
      </c>
      <c r="D17" t="s">
        <v>148</v>
      </c>
      <c r="E17" t="s">
        <v>332</v>
      </c>
      <c r="F17" s="41">
        <v>0.26300000000000001</v>
      </c>
      <c r="G17" s="41">
        <v>2.0720000000000001</v>
      </c>
      <c r="H17" s="41">
        <v>1.6839999999999999</v>
      </c>
      <c r="I17" s="41">
        <v>0.44600000000000001</v>
      </c>
      <c r="J17" s="51">
        <v>0.4</v>
      </c>
      <c r="K17" s="51">
        <v>1.54</v>
      </c>
      <c r="L17" s="55">
        <v>139</v>
      </c>
      <c r="M17" s="51">
        <v>2.08</v>
      </c>
      <c r="N17" s="51">
        <v>3.47</v>
      </c>
      <c r="O17" s="41">
        <v>4.234</v>
      </c>
    </row>
    <row r="18" spans="1:15">
      <c r="A18" t="s">
        <v>41</v>
      </c>
      <c r="B18" t="str">
        <f t="shared" si="0"/>
        <v>Trial 1</v>
      </c>
      <c r="C18" t="s">
        <v>40</v>
      </c>
      <c r="D18" t="s">
        <v>148</v>
      </c>
      <c r="E18" t="s">
        <v>332</v>
      </c>
      <c r="F18" s="41">
        <v>0.39600000000000002</v>
      </c>
      <c r="G18" s="41">
        <v>2.1869999999999998</v>
      </c>
      <c r="H18" s="41">
        <v>1.619</v>
      </c>
      <c r="I18" s="41">
        <v>0.439</v>
      </c>
      <c r="J18" s="51">
        <v>0.51</v>
      </c>
      <c r="K18" s="51">
        <v>1.34</v>
      </c>
      <c r="L18" s="55">
        <v>128.1</v>
      </c>
      <c r="M18" s="51">
        <v>2.25</v>
      </c>
      <c r="N18" s="51">
        <v>3.28</v>
      </c>
      <c r="O18" s="41">
        <v>4.2549999999999999</v>
      </c>
    </row>
    <row r="19" spans="1:15">
      <c r="A19" t="s">
        <v>42</v>
      </c>
      <c r="B19" t="str">
        <f t="shared" si="0"/>
        <v>Trial 1</v>
      </c>
      <c r="C19" t="s">
        <v>40</v>
      </c>
      <c r="D19" t="s">
        <v>148</v>
      </c>
      <c r="E19" t="s">
        <v>332</v>
      </c>
      <c r="F19" s="41">
        <v>0.315</v>
      </c>
      <c r="G19" s="41">
        <v>2.0209999999999999</v>
      </c>
      <c r="H19" s="41">
        <v>1.9330000000000001</v>
      </c>
      <c r="I19" s="41">
        <v>0.45800000000000002</v>
      </c>
      <c r="J19" s="51">
        <v>0.48</v>
      </c>
      <c r="K19" s="51">
        <v>1.32</v>
      </c>
      <c r="L19" s="55">
        <v>120.8</v>
      </c>
      <c r="M19" s="51">
        <v>2.2400000000000002</v>
      </c>
      <c r="N19" s="51">
        <v>3.47</v>
      </c>
      <c r="O19" s="41">
        <v>3.7349999999999999</v>
      </c>
    </row>
    <row r="20" spans="1:15">
      <c r="A20" t="s">
        <v>43</v>
      </c>
      <c r="B20" t="str">
        <f t="shared" si="0"/>
        <v>Trial 1</v>
      </c>
      <c r="C20" t="s">
        <v>44</v>
      </c>
      <c r="D20" t="s">
        <v>323</v>
      </c>
      <c r="E20" t="s">
        <v>332</v>
      </c>
      <c r="F20" s="41">
        <v>0.27400000000000002</v>
      </c>
      <c r="G20" s="41">
        <v>2.008</v>
      </c>
      <c r="H20" s="41">
        <v>1.806</v>
      </c>
      <c r="I20" s="41">
        <v>0.36199999999999999</v>
      </c>
      <c r="J20" s="51">
        <v>0.27</v>
      </c>
      <c r="K20" s="51">
        <v>1.74</v>
      </c>
      <c r="L20" s="55">
        <v>144.5</v>
      </c>
      <c r="M20" s="51">
        <v>1.28</v>
      </c>
      <c r="N20" s="51">
        <v>3.55</v>
      </c>
      <c r="O20" s="41">
        <v>4.3419999999999996</v>
      </c>
    </row>
    <row r="21" spans="1:15">
      <c r="A21" t="s">
        <v>45</v>
      </c>
      <c r="B21" t="str">
        <f t="shared" si="0"/>
        <v>Trial 1</v>
      </c>
      <c r="C21" t="s">
        <v>44</v>
      </c>
      <c r="D21" t="s">
        <v>323</v>
      </c>
      <c r="E21" t="s">
        <v>332</v>
      </c>
      <c r="F21" s="41">
        <v>0.315</v>
      </c>
      <c r="G21" s="41">
        <v>2.081</v>
      </c>
      <c r="H21" s="41">
        <v>1.7270000000000001</v>
      </c>
      <c r="I21" s="41">
        <v>0.54700000000000004</v>
      </c>
      <c r="J21" s="51">
        <v>0.28000000000000003</v>
      </c>
      <c r="K21" s="51">
        <v>2.1800000000000002</v>
      </c>
      <c r="L21" s="55">
        <v>129.6</v>
      </c>
      <c r="M21" s="51">
        <v>1.23</v>
      </c>
      <c r="N21" s="51">
        <v>3.57</v>
      </c>
      <c r="O21" s="41">
        <v>4.766</v>
      </c>
    </row>
    <row r="22" spans="1:15">
      <c r="A22" t="s">
        <v>46</v>
      </c>
      <c r="B22" t="str">
        <f t="shared" si="0"/>
        <v>Trial 1</v>
      </c>
      <c r="C22" t="s">
        <v>44</v>
      </c>
      <c r="D22" t="s">
        <v>323</v>
      </c>
      <c r="E22" t="s">
        <v>332</v>
      </c>
      <c r="F22" s="41">
        <v>0.34799999999999998</v>
      </c>
      <c r="G22" s="41">
        <v>2.1920000000000002</v>
      </c>
      <c r="H22" s="41">
        <v>1.8939999999999999</v>
      </c>
      <c r="I22" s="41">
        <v>0.47</v>
      </c>
      <c r="J22" s="51">
        <v>0.55000000000000004</v>
      </c>
      <c r="K22" s="51">
        <v>2.2200000000000002</v>
      </c>
      <c r="L22" s="55">
        <v>146</v>
      </c>
      <c r="M22" s="51">
        <v>1.98</v>
      </c>
      <c r="N22" s="51">
        <v>3.46</v>
      </c>
      <c r="O22" s="41">
        <v>4.9610000000000003</v>
      </c>
    </row>
    <row r="23" spans="1:15">
      <c r="A23" t="s">
        <v>47</v>
      </c>
      <c r="B23" t="str">
        <f t="shared" si="0"/>
        <v>Trial 1</v>
      </c>
      <c r="C23" t="s">
        <v>48</v>
      </c>
      <c r="D23" t="s">
        <v>156</v>
      </c>
      <c r="E23" t="s">
        <v>332</v>
      </c>
      <c r="F23" s="41">
        <v>0.33800000000000002</v>
      </c>
      <c r="G23" s="41">
        <v>2.1419999999999999</v>
      </c>
      <c r="H23" s="41">
        <v>1.897</v>
      </c>
      <c r="I23" s="41">
        <v>0.47199999999999998</v>
      </c>
      <c r="J23" s="51">
        <v>0.3</v>
      </c>
      <c r="K23" s="51">
        <v>2.14</v>
      </c>
      <c r="L23" s="55">
        <v>148.4</v>
      </c>
      <c r="M23" s="51">
        <v>2.31</v>
      </c>
      <c r="N23" s="51">
        <v>3.57</v>
      </c>
      <c r="O23" s="41">
        <v>4.585</v>
      </c>
    </row>
    <row r="24" spans="1:15">
      <c r="A24" t="s">
        <v>49</v>
      </c>
      <c r="B24" t="str">
        <f t="shared" si="0"/>
        <v>Trial 1</v>
      </c>
      <c r="C24" t="s">
        <v>48</v>
      </c>
      <c r="D24" t="s">
        <v>156</v>
      </c>
      <c r="E24" t="s">
        <v>332</v>
      </c>
      <c r="F24" s="41">
        <v>0.309</v>
      </c>
      <c r="G24" s="41">
        <v>2.2519999999999998</v>
      </c>
      <c r="H24" s="41">
        <v>1.7529999999999999</v>
      </c>
      <c r="I24" s="41">
        <v>0.49399999999999999</v>
      </c>
      <c r="J24" s="51">
        <v>0.18</v>
      </c>
      <c r="K24" s="51">
        <v>2.37</v>
      </c>
      <c r="L24" s="55">
        <v>143</v>
      </c>
      <c r="M24" s="51">
        <v>2.2000000000000002</v>
      </c>
      <c r="N24" s="51">
        <v>3.49</v>
      </c>
      <c r="O24" s="41">
        <v>5.0220000000000002</v>
      </c>
    </row>
    <row r="25" spans="1:15">
      <c r="A25" t="s">
        <v>50</v>
      </c>
      <c r="B25" t="str">
        <f t="shared" si="0"/>
        <v>Trial 1</v>
      </c>
      <c r="C25" t="s">
        <v>48</v>
      </c>
      <c r="D25" t="s">
        <v>156</v>
      </c>
      <c r="E25" t="s">
        <v>332</v>
      </c>
      <c r="F25" s="41">
        <v>0.33400000000000002</v>
      </c>
      <c r="G25" s="41">
        <v>2.1859999999999999</v>
      </c>
      <c r="H25" s="41">
        <v>1.917</v>
      </c>
      <c r="I25" s="41">
        <v>0.52900000000000003</v>
      </c>
      <c r="J25" s="51">
        <v>0.39</v>
      </c>
      <c r="K25" s="51">
        <v>1.96</v>
      </c>
      <c r="L25" s="55">
        <v>172.6</v>
      </c>
      <c r="M25" s="51">
        <v>1.66</v>
      </c>
      <c r="N25" s="51">
        <v>3.52</v>
      </c>
      <c r="O25" s="41">
        <v>4.7240000000000002</v>
      </c>
    </row>
    <row r="26" spans="1:15">
      <c r="A26" t="s">
        <v>51</v>
      </c>
      <c r="B26" t="str">
        <f t="shared" si="0"/>
        <v>Trial 1</v>
      </c>
      <c r="C26" t="s">
        <v>52</v>
      </c>
      <c r="D26" t="s">
        <v>160</v>
      </c>
      <c r="E26" t="s">
        <v>332</v>
      </c>
      <c r="F26" s="41">
        <v>0.35399999999999998</v>
      </c>
      <c r="G26" s="41">
        <v>2.2559999999999998</v>
      </c>
      <c r="H26" s="41">
        <v>1.796</v>
      </c>
      <c r="I26" s="41">
        <v>0.57199999999999995</v>
      </c>
      <c r="J26" s="51">
        <v>0.34</v>
      </c>
      <c r="K26" s="51">
        <v>2.25</v>
      </c>
      <c r="L26" s="55">
        <v>131.1</v>
      </c>
      <c r="M26" s="51">
        <v>1.4</v>
      </c>
      <c r="N26" s="51">
        <v>3.53</v>
      </c>
      <c r="O26" s="41">
        <v>4.8529999999999998</v>
      </c>
    </row>
    <row r="27" spans="1:15">
      <c r="A27" t="s">
        <v>53</v>
      </c>
      <c r="B27" t="str">
        <f t="shared" si="0"/>
        <v>Trial 1</v>
      </c>
      <c r="C27" t="s">
        <v>52</v>
      </c>
      <c r="D27" t="s">
        <v>160</v>
      </c>
      <c r="E27" t="s">
        <v>332</v>
      </c>
      <c r="F27" s="41">
        <v>0.40400000000000003</v>
      </c>
      <c r="G27" s="41">
        <v>2.3250000000000002</v>
      </c>
      <c r="H27" s="41">
        <v>1.722</v>
      </c>
      <c r="I27" s="41">
        <v>0.56699999999999995</v>
      </c>
      <c r="J27" s="51">
        <v>0.82</v>
      </c>
      <c r="K27" s="51">
        <v>2.0099999999999998</v>
      </c>
      <c r="L27" s="55">
        <v>119.2</v>
      </c>
      <c r="M27" s="51">
        <v>1.66</v>
      </c>
      <c r="N27" s="51">
        <v>3.42</v>
      </c>
      <c r="O27" s="41">
        <v>5.2450000000000001</v>
      </c>
    </row>
    <row r="28" spans="1:15">
      <c r="A28" t="s">
        <v>54</v>
      </c>
      <c r="B28" t="str">
        <f t="shared" si="0"/>
        <v>Trial 1</v>
      </c>
      <c r="C28" t="s">
        <v>52</v>
      </c>
      <c r="D28" t="s">
        <v>160</v>
      </c>
      <c r="E28" t="s">
        <v>332</v>
      </c>
      <c r="F28" s="41">
        <v>0.39</v>
      </c>
      <c r="G28" s="41">
        <v>2.173</v>
      </c>
      <c r="H28" s="41">
        <v>1.893</v>
      </c>
      <c r="I28" s="41">
        <v>0.51900000000000002</v>
      </c>
      <c r="J28" s="51">
        <v>0.47</v>
      </c>
      <c r="K28" s="51">
        <v>2</v>
      </c>
      <c r="L28" s="55">
        <v>146.30000000000001</v>
      </c>
      <c r="M28" s="51">
        <v>1.1499999999999999</v>
      </c>
      <c r="N28" s="51">
        <v>3.5</v>
      </c>
      <c r="O28" s="41">
        <v>4.6970000000000001</v>
      </c>
    </row>
    <row r="29" spans="1:15">
      <c r="A29" t="s">
        <v>55</v>
      </c>
      <c r="B29" t="str">
        <f t="shared" si="0"/>
        <v>Trial 1</v>
      </c>
      <c r="C29" t="s">
        <v>56</v>
      </c>
      <c r="D29" t="s">
        <v>320</v>
      </c>
      <c r="E29" t="s">
        <v>333</v>
      </c>
      <c r="F29" s="41">
        <v>0.40799999999999997</v>
      </c>
      <c r="G29" s="41">
        <v>2.5449999999999999</v>
      </c>
      <c r="H29" s="41">
        <v>2.0129999999999999</v>
      </c>
      <c r="I29" s="41">
        <v>0</v>
      </c>
      <c r="J29" s="51">
        <v>1.07</v>
      </c>
      <c r="K29" s="51">
        <v>4.17</v>
      </c>
      <c r="L29" s="55">
        <v>164.8</v>
      </c>
      <c r="M29" s="51">
        <v>2.23</v>
      </c>
      <c r="N29" s="51">
        <v>3.68</v>
      </c>
      <c r="O29" s="41">
        <v>7.12</v>
      </c>
    </row>
    <row r="30" spans="1:15">
      <c r="A30" t="s">
        <v>57</v>
      </c>
      <c r="B30" t="str">
        <f t="shared" si="0"/>
        <v>Trial 1</v>
      </c>
      <c r="C30" t="s">
        <v>56</v>
      </c>
      <c r="D30" t="s">
        <v>320</v>
      </c>
      <c r="E30" t="s">
        <v>333</v>
      </c>
      <c r="F30" s="41">
        <v>0.39700000000000002</v>
      </c>
      <c r="G30" s="41">
        <v>2.589</v>
      </c>
      <c r="H30" s="41">
        <v>2.1819999999999999</v>
      </c>
      <c r="I30" s="41">
        <v>0</v>
      </c>
      <c r="J30" s="51">
        <v>1.19</v>
      </c>
      <c r="K30" s="51">
        <v>3.46</v>
      </c>
      <c r="L30" s="55">
        <v>182.1</v>
      </c>
      <c r="M30" s="51">
        <v>1.53</v>
      </c>
      <c r="N30" s="51">
        <v>3.63</v>
      </c>
      <c r="O30" s="41">
        <v>6.4669999999999996</v>
      </c>
    </row>
    <row r="31" spans="1:15">
      <c r="A31" t="s">
        <v>58</v>
      </c>
      <c r="B31" t="str">
        <f t="shared" si="0"/>
        <v>Trial 1</v>
      </c>
      <c r="C31" t="s">
        <v>56</v>
      </c>
      <c r="D31" t="s">
        <v>320</v>
      </c>
      <c r="E31" t="s">
        <v>333</v>
      </c>
      <c r="F31" s="41">
        <v>0.53900000000000003</v>
      </c>
      <c r="G31" s="41">
        <v>2.6589999999999998</v>
      </c>
      <c r="H31" s="41">
        <v>2.2080000000000002</v>
      </c>
      <c r="I31" s="41">
        <v>0</v>
      </c>
      <c r="J31" s="51">
        <v>1.35</v>
      </c>
      <c r="K31" s="51">
        <v>4.7</v>
      </c>
      <c r="L31" s="55">
        <v>163.9</v>
      </c>
      <c r="M31" s="51">
        <v>1.9</v>
      </c>
      <c r="N31" s="51">
        <v>3.73</v>
      </c>
      <c r="O31" s="41">
        <v>7.6479999999999997</v>
      </c>
    </row>
    <row r="32" spans="1:15">
      <c r="A32" t="s">
        <v>59</v>
      </c>
      <c r="B32" t="str">
        <f t="shared" si="0"/>
        <v>Trial 1</v>
      </c>
      <c r="C32" t="s">
        <v>60</v>
      </c>
      <c r="D32" t="s">
        <v>132</v>
      </c>
      <c r="E32" t="s">
        <v>333</v>
      </c>
      <c r="F32" s="41">
        <v>0.43</v>
      </c>
      <c r="G32" s="41">
        <v>3.2280000000000002</v>
      </c>
      <c r="H32" s="41">
        <v>2.161</v>
      </c>
      <c r="I32" s="41">
        <v>0</v>
      </c>
      <c r="J32" s="51">
        <v>3.66</v>
      </c>
      <c r="K32" s="51">
        <v>4.8</v>
      </c>
      <c r="L32" s="55">
        <v>157.19999999999999</v>
      </c>
      <c r="M32" s="51">
        <v>1.24</v>
      </c>
      <c r="N32" s="51">
        <v>3.38</v>
      </c>
      <c r="O32" s="41">
        <v>8.9160000000000004</v>
      </c>
    </row>
    <row r="33" spans="1:15">
      <c r="A33" t="s">
        <v>61</v>
      </c>
      <c r="B33" t="str">
        <f t="shared" si="0"/>
        <v>Trial 1</v>
      </c>
      <c r="C33" t="s">
        <v>60</v>
      </c>
      <c r="D33" t="s">
        <v>132</v>
      </c>
      <c r="E33" t="s">
        <v>333</v>
      </c>
      <c r="F33" s="41">
        <v>0.433</v>
      </c>
      <c r="G33" s="41">
        <v>3.27</v>
      </c>
      <c r="H33" s="41">
        <v>2.044</v>
      </c>
      <c r="I33" s="41">
        <v>0</v>
      </c>
      <c r="J33" s="51">
        <v>3.99</v>
      </c>
      <c r="K33" s="51">
        <v>5.35</v>
      </c>
      <c r="L33" s="55">
        <v>144.5</v>
      </c>
      <c r="M33" s="51">
        <v>1.59</v>
      </c>
      <c r="N33" s="51">
        <v>3.29</v>
      </c>
      <c r="O33" s="41">
        <v>9.9060000000000006</v>
      </c>
    </row>
    <row r="34" spans="1:15">
      <c r="A34" t="s">
        <v>62</v>
      </c>
      <c r="B34" t="str">
        <f t="shared" si="0"/>
        <v>Trial 1</v>
      </c>
      <c r="C34" t="s">
        <v>60</v>
      </c>
      <c r="D34" t="s">
        <v>132</v>
      </c>
      <c r="E34" t="s">
        <v>333</v>
      </c>
      <c r="F34" s="41">
        <v>0.39600000000000002</v>
      </c>
      <c r="G34" s="41">
        <v>3.3180000000000001</v>
      </c>
      <c r="H34" s="41">
        <v>2.0059999999999998</v>
      </c>
      <c r="I34" s="41">
        <v>0</v>
      </c>
      <c r="J34" s="51">
        <v>3.33</v>
      </c>
      <c r="K34" s="51">
        <v>4.2</v>
      </c>
      <c r="L34" s="55">
        <v>149.9</v>
      </c>
      <c r="M34" s="51">
        <v>1.47</v>
      </c>
      <c r="N34" s="51">
        <v>3.27</v>
      </c>
      <c r="O34" s="41">
        <v>8.6080000000000005</v>
      </c>
    </row>
    <row r="35" spans="1:15">
      <c r="A35" t="s">
        <v>63</v>
      </c>
      <c r="B35" t="str">
        <f t="shared" si="0"/>
        <v>Trial 1</v>
      </c>
      <c r="C35" t="s">
        <v>64</v>
      </c>
      <c r="D35" t="s">
        <v>136</v>
      </c>
      <c r="E35" t="s">
        <v>333</v>
      </c>
      <c r="F35" s="41">
        <v>0.45200000000000001</v>
      </c>
      <c r="G35" s="41">
        <v>3.2770000000000001</v>
      </c>
      <c r="H35" s="41">
        <v>2.0409999999999999</v>
      </c>
      <c r="I35" s="41">
        <v>0.66400000000000003</v>
      </c>
      <c r="J35" s="51">
        <v>3.21</v>
      </c>
      <c r="K35" s="51">
        <v>5.7</v>
      </c>
      <c r="L35" s="55">
        <v>148</v>
      </c>
      <c r="M35" s="51">
        <v>1.8</v>
      </c>
      <c r="N35" s="51">
        <v>3.48</v>
      </c>
      <c r="O35" s="41">
        <v>9.3670000000000009</v>
      </c>
    </row>
    <row r="36" spans="1:15">
      <c r="A36" t="s">
        <v>65</v>
      </c>
      <c r="B36" t="str">
        <f t="shared" si="0"/>
        <v>Trial 1</v>
      </c>
      <c r="C36" t="s">
        <v>64</v>
      </c>
      <c r="D36" t="s">
        <v>136</v>
      </c>
      <c r="E36" t="s">
        <v>333</v>
      </c>
      <c r="F36" s="41">
        <v>0.41</v>
      </c>
      <c r="G36" s="41">
        <v>2.524</v>
      </c>
      <c r="H36" s="41">
        <v>2.0590000000000002</v>
      </c>
      <c r="I36" s="41">
        <v>0.56899999999999995</v>
      </c>
      <c r="J36" s="51">
        <v>2.13</v>
      </c>
      <c r="K36" s="51">
        <v>3.75</v>
      </c>
      <c r="L36" s="55">
        <v>159.30000000000001</v>
      </c>
      <c r="M36" s="51">
        <v>1.81</v>
      </c>
      <c r="N36" s="51">
        <v>3.42</v>
      </c>
      <c r="O36" s="41">
        <v>7.0949999999999998</v>
      </c>
    </row>
    <row r="37" spans="1:15">
      <c r="A37" t="s">
        <v>66</v>
      </c>
      <c r="B37" t="str">
        <f t="shared" si="0"/>
        <v>Trial 1</v>
      </c>
      <c r="C37" t="s">
        <v>64</v>
      </c>
      <c r="D37" t="s">
        <v>136</v>
      </c>
      <c r="E37" t="s">
        <v>333</v>
      </c>
      <c r="F37" s="41">
        <v>0.40500000000000003</v>
      </c>
      <c r="G37" s="41">
        <v>2.5390000000000001</v>
      </c>
      <c r="H37" s="41">
        <v>2.0329999999999999</v>
      </c>
      <c r="I37" s="41">
        <v>0.56000000000000005</v>
      </c>
      <c r="J37" s="51">
        <v>1.28</v>
      </c>
      <c r="K37" s="51">
        <v>3.1</v>
      </c>
      <c r="L37" s="55">
        <v>165.3</v>
      </c>
      <c r="M37" s="51">
        <v>2.27</v>
      </c>
      <c r="N37" s="51">
        <v>3.65</v>
      </c>
      <c r="O37" s="41">
        <v>6.0990000000000002</v>
      </c>
    </row>
    <row r="38" spans="1:15">
      <c r="A38" t="s">
        <v>67</v>
      </c>
      <c r="B38" t="str">
        <f t="shared" si="0"/>
        <v>Trial 1</v>
      </c>
      <c r="C38" t="s">
        <v>68</v>
      </c>
      <c r="D38" t="s">
        <v>321</v>
      </c>
      <c r="E38" t="s">
        <v>333</v>
      </c>
      <c r="F38" s="41">
        <v>0.34899999999999998</v>
      </c>
      <c r="G38" s="41">
        <v>2.754</v>
      </c>
      <c r="H38" s="41">
        <v>1.996</v>
      </c>
      <c r="I38" s="41">
        <v>0.43099999999999999</v>
      </c>
      <c r="J38" s="51">
        <v>0.93</v>
      </c>
      <c r="K38" s="51">
        <v>3.34</v>
      </c>
      <c r="L38" s="55">
        <v>129</v>
      </c>
      <c r="M38" s="51">
        <v>2.15</v>
      </c>
      <c r="N38" s="51">
        <v>3.6</v>
      </c>
      <c r="O38" s="41">
        <v>6.8360000000000003</v>
      </c>
    </row>
    <row r="39" spans="1:15">
      <c r="A39" t="s">
        <v>69</v>
      </c>
      <c r="B39" t="str">
        <f t="shared" si="0"/>
        <v>Trial 1</v>
      </c>
      <c r="C39" t="s">
        <v>68</v>
      </c>
      <c r="D39" t="s">
        <v>321</v>
      </c>
      <c r="E39" t="s">
        <v>333</v>
      </c>
      <c r="F39" s="41">
        <v>0.38600000000000001</v>
      </c>
      <c r="G39" s="41">
        <v>2.9430000000000001</v>
      </c>
      <c r="H39" s="41">
        <v>2.0059999999999998</v>
      </c>
      <c r="I39" s="41">
        <v>0.55400000000000005</v>
      </c>
      <c r="J39" s="51">
        <v>2.3199999999999998</v>
      </c>
      <c r="K39" s="51">
        <v>3.52</v>
      </c>
      <c r="L39" s="55">
        <v>152.6</v>
      </c>
      <c r="M39" s="51">
        <v>2.0499999999999998</v>
      </c>
      <c r="N39" s="51">
        <v>3.52</v>
      </c>
      <c r="O39" s="41">
        <v>6.9180000000000001</v>
      </c>
    </row>
    <row r="40" spans="1:15">
      <c r="A40" t="s">
        <v>70</v>
      </c>
      <c r="B40" t="str">
        <f t="shared" si="0"/>
        <v>Trial 1</v>
      </c>
      <c r="C40" t="s">
        <v>68</v>
      </c>
      <c r="D40" t="s">
        <v>321</v>
      </c>
      <c r="E40" t="s">
        <v>333</v>
      </c>
      <c r="F40" s="41">
        <v>0.439</v>
      </c>
      <c r="G40" s="41">
        <v>3.2650000000000001</v>
      </c>
      <c r="H40" s="41">
        <v>2.09</v>
      </c>
      <c r="I40" s="41">
        <v>0.47899999999999998</v>
      </c>
      <c r="J40" s="51">
        <v>3.26</v>
      </c>
      <c r="K40" s="51">
        <v>5.41</v>
      </c>
      <c r="L40" s="55">
        <v>154.6</v>
      </c>
      <c r="M40" s="51">
        <v>2.14</v>
      </c>
      <c r="N40" s="51">
        <v>3.49</v>
      </c>
      <c r="O40" s="41">
        <v>9.0630000000000006</v>
      </c>
    </row>
    <row r="41" spans="1:15">
      <c r="A41" t="s">
        <v>71</v>
      </c>
      <c r="B41" t="str">
        <f t="shared" si="0"/>
        <v>Trial 1</v>
      </c>
      <c r="C41" t="s">
        <v>72</v>
      </c>
      <c r="D41" t="s">
        <v>322</v>
      </c>
      <c r="E41" t="s">
        <v>333</v>
      </c>
      <c r="F41" s="41">
        <v>0.33300000000000002</v>
      </c>
      <c r="G41" s="41">
        <v>2.077</v>
      </c>
      <c r="H41" s="41">
        <v>1.851</v>
      </c>
      <c r="I41" s="41">
        <v>0</v>
      </c>
      <c r="J41" s="51">
        <v>0.99</v>
      </c>
      <c r="K41" s="51">
        <v>3.03</v>
      </c>
      <c r="L41" s="55">
        <v>157.6</v>
      </c>
      <c r="M41" s="51">
        <v>1.32</v>
      </c>
      <c r="N41" s="51">
        <v>3.38</v>
      </c>
      <c r="O41" s="41">
        <v>6.069</v>
      </c>
    </row>
    <row r="42" spans="1:15">
      <c r="A42" t="s">
        <v>73</v>
      </c>
      <c r="B42" t="str">
        <f t="shared" si="0"/>
        <v>Trial 1</v>
      </c>
      <c r="C42" t="s">
        <v>72</v>
      </c>
      <c r="D42" t="s">
        <v>322</v>
      </c>
      <c r="E42" t="s">
        <v>333</v>
      </c>
      <c r="F42" s="41">
        <v>0.34100000000000003</v>
      </c>
      <c r="G42" s="41">
        <v>2.13</v>
      </c>
      <c r="H42" s="41">
        <v>2.0270000000000001</v>
      </c>
      <c r="I42" s="41">
        <v>0</v>
      </c>
      <c r="J42" s="51">
        <v>0.93</v>
      </c>
      <c r="K42" s="51">
        <v>2.38</v>
      </c>
      <c r="L42" s="55">
        <v>174</v>
      </c>
      <c r="M42" s="51">
        <v>1.41</v>
      </c>
      <c r="N42" s="51">
        <v>3.5</v>
      </c>
      <c r="O42" s="41">
        <v>5.2350000000000003</v>
      </c>
    </row>
    <row r="43" spans="1:15">
      <c r="A43" t="s">
        <v>74</v>
      </c>
      <c r="B43" t="str">
        <f t="shared" si="0"/>
        <v>Trial 1</v>
      </c>
      <c r="C43" t="s">
        <v>72</v>
      </c>
      <c r="D43" t="s">
        <v>322</v>
      </c>
      <c r="E43" t="s">
        <v>333</v>
      </c>
      <c r="F43" s="41">
        <v>0.34799999999999998</v>
      </c>
      <c r="G43" s="41">
        <v>2.0750000000000002</v>
      </c>
      <c r="H43" s="41">
        <v>1.9319999999999999</v>
      </c>
      <c r="I43" s="41">
        <v>0</v>
      </c>
      <c r="J43" s="51">
        <v>0.87</v>
      </c>
      <c r="K43" s="51">
        <v>2.42</v>
      </c>
      <c r="L43" s="55">
        <v>156.30000000000001</v>
      </c>
      <c r="M43" s="51">
        <v>1.48</v>
      </c>
      <c r="N43" s="51">
        <v>3.38</v>
      </c>
      <c r="O43" s="41">
        <v>5.3209999999999997</v>
      </c>
    </row>
    <row r="44" spans="1:15">
      <c r="A44" t="s">
        <v>75</v>
      </c>
      <c r="B44" t="str">
        <f t="shared" si="0"/>
        <v>Trial 1</v>
      </c>
      <c r="C44" t="s">
        <v>76</v>
      </c>
      <c r="D44" t="s">
        <v>148</v>
      </c>
      <c r="E44" t="s">
        <v>333</v>
      </c>
      <c r="F44" s="41">
        <v>0.33100000000000002</v>
      </c>
      <c r="G44" s="41">
        <v>1.819</v>
      </c>
      <c r="H44" s="41">
        <v>1.7969999999999999</v>
      </c>
      <c r="I44" s="41">
        <v>0.437</v>
      </c>
      <c r="J44" s="51">
        <v>0.98</v>
      </c>
      <c r="K44" s="51">
        <v>1.52</v>
      </c>
      <c r="L44" s="55">
        <v>137.4</v>
      </c>
      <c r="M44" s="51">
        <v>2.6</v>
      </c>
      <c r="N44" s="51">
        <v>3.45</v>
      </c>
      <c r="O44" s="41">
        <v>4.1959999999999997</v>
      </c>
    </row>
    <row r="45" spans="1:15">
      <c r="A45" t="s">
        <v>77</v>
      </c>
      <c r="B45" t="str">
        <f t="shared" si="0"/>
        <v>Trial 1</v>
      </c>
      <c r="C45" t="s">
        <v>76</v>
      </c>
      <c r="D45" t="s">
        <v>148</v>
      </c>
      <c r="E45" t="s">
        <v>333</v>
      </c>
      <c r="F45" s="41">
        <v>0.30199999999999999</v>
      </c>
      <c r="G45" s="41">
        <v>1.9370000000000001</v>
      </c>
      <c r="H45" s="41">
        <v>1.786</v>
      </c>
      <c r="I45" s="41">
        <v>0.36799999999999999</v>
      </c>
      <c r="J45" s="51">
        <v>0.4</v>
      </c>
      <c r="K45" s="51">
        <v>0.88</v>
      </c>
      <c r="L45" s="55">
        <v>153</v>
      </c>
      <c r="M45" s="51">
        <v>1.59</v>
      </c>
      <c r="N45" s="51">
        <v>3.12</v>
      </c>
      <c r="O45" s="41">
        <v>3.762</v>
      </c>
    </row>
    <row r="46" spans="1:15">
      <c r="A46" t="s">
        <v>78</v>
      </c>
      <c r="B46" t="str">
        <f t="shared" si="0"/>
        <v>Trial 1</v>
      </c>
      <c r="C46" t="s">
        <v>76</v>
      </c>
      <c r="D46" t="s">
        <v>148</v>
      </c>
      <c r="E46" t="s">
        <v>333</v>
      </c>
      <c r="F46" s="41">
        <v>0.308</v>
      </c>
      <c r="G46" s="41">
        <v>1.9159999999999999</v>
      </c>
      <c r="H46" s="41">
        <v>1.869</v>
      </c>
      <c r="I46" s="41">
        <v>0.41299999999999998</v>
      </c>
      <c r="J46" s="51">
        <v>0.28999999999999998</v>
      </c>
      <c r="K46" s="51">
        <v>1.03</v>
      </c>
      <c r="L46" s="55">
        <v>144.9</v>
      </c>
      <c r="M46" s="51">
        <v>2.2000000000000002</v>
      </c>
      <c r="N46" s="51">
        <v>3.27</v>
      </c>
      <c r="O46" s="41">
        <v>3.4740000000000002</v>
      </c>
    </row>
    <row r="47" spans="1:15">
      <c r="A47" t="s">
        <v>79</v>
      </c>
      <c r="B47" t="str">
        <f t="shared" si="0"/>
        <v>Trial 1</v>
      </c>
      <c r="C47" t="s">
        <v>80</v>
      </c>
      <c r="D47" t="s">
        <v>323</v>
      </c>
      <c r="E47" t="s">
        <v>333</v>
      </c>
      <c r="F47" s="41">
        <v>0.32800000000000001</v>
      </c>
      <c r="G47" s="41">
        <v>2.8279999999999998</v>
      </c>
      <c r="H47" s="41">
        <v>1.905</v>
      </c>
      <c r="I47" s="41">
        <v>0.44700000000000001</v>
      </c>
      <c r="J47" s="51">
        <v>3.41</v>
      </c>
      <c r="K47" s="51">
        <v>4.12</v>
      </c>
      <c r="L47" s="55">
        <v>183.3</v>
      </c>
      <c r="M47" s="51">
        <v>1.99</v>
      </c>
      <c r="N47" s="51">
        <v>3.3</v>
      </c>
      <c r="O47" s="41">
        <v>8.1660000000000004</v>
      </c>
    </row>
    <row r="48" spans="1:15">
      <c r="A48" t="s">
        <v>81</v>
      </c>
      <c r="B48" t="str">
        <f t="shared" si="0"/>
        <v>Trial 1</v>
      </c>
      <c r="C48" t="s">
        <v>80</v>
      </c>
      <c r="D48" t="s">
        <v>323</v>
      </c>
      <c r="E48" t="s">
        <v>333</v>
      </c>
      <c r="F48" s="41">
        <v>0.33700000000000002</v>
      </c>
      <c r="G48" s="41">
        <v>2.52</v>
      </c>
      <c r="H48" s="41">
        <v>1.921</v>
      </c>
      <c r="I48" s="41">
        <v>0.52600000000000002</v>
      </c>
      <c r="J48" s="51">
        <v>1.54</v>
      </c>
      <c r="K48" s="51">
        <v>3.26</v>
      </c>
      <c r="L48" s="55">
        <v>164.3</v>
      </c>
      <c r="M48" s="51">
        <v>1.88</v>
      </c>
      <c r="N48" s="51">
        <v>3.46</v>
      </c>
      <c r="O48" s="41">
        <v>6.476</v>
      </c>
    </row>
    <row r="49" spans="1:15">
      <c r="A49" t="s">
        <v>82</v>
      </c>
      <c r="B49" t="str">
        <f t="shared" si="0"/>
        <v>Trial 1</v>
      </c>
      <c r="C49" t="s">
        <v>80</v>
      </c>
      <c r="D49" t="s">
        <v>323</v>
      </c>
      <c r="E49" t="s">
        <v>333</v>
      </c>
      <c r="F49" s="41">
        <v>0.35399999999999998</v>
      </c>
      <c r="G49" s="41">
        <v>2.9260000000000002</v>
      </c>
      <c r="H49" s="41">
        <v>2.0070000000000001</v>
      </c>
      <c r="I49" s="41">
        <v>0.54500000000000004</v>
      </c>
      <c r="J49" s="51">
        <v>2.88</v>
      </c>
      <c r="K49" s="51">
        <v>3.95</v>
      </c>
      <c r="L49" s="55">
        <v>146.1</v>
      </c>
      <c r="M49" s="51">
        <v>1.6</v>
      </c>
      <c r="N49" s="51">
        <v>3.34</v>
      </c>
      <c r="O49" s="41">
        <v>7.6509999999999998</v>
      </c>
    </row>
    <row r="50" spans="1:15">
      <c r="A50" t="s">
        <v>83</v>
      </c>
      <c r="B50" t="str">
        <f t="shared" si="0"/>
        <v>Trial 1</v>
      </c>
      <c r="C50" t="s">
        <v>84</v>
      </c>
      <c r="D50" t="s">
        <v>156</v>
      </c>
      <c r="E50" t="s">
        <v>333</v>
      </c>
      <c r="F50" s="41">
        <v>0.38400000000000001</v>
      </c>
      <c r="G50" s="41">
        <v>2.1869999999999998</v>
      </c>
      <c r="H50" s="41">
        <v>1.7589999999999999</v>
      </c>
      <c r="I50" s="41">
        <v>0.50800000000000001</v>
      </c>
      <c r="J50" s="51">
        <v>1.97</v>
      </c>
      <c r="K50" s="51">
        <v>3.64</v>
      </c>
      <c r="L50" s="55">
        <v>137.4</v>
      </c>
      <c r="M50" s="51">
        <v>1.72</v>
      </c>
      <c r="N50" s="51">
        <v>3.34</v>
      </c>
      <c r="O50" s="41">
        <v>6.9880000000000004</v>
      </c>
    </row>
    <row r="51" spans="1:15">
      <c r="A51" t="s">
        <v>85</v>
      </c>
      <c r="B51" t="str">
        <f t="shared" si="0"/>
        <v>Trial 1</v>
      </c>
      <c r="C51" t="s">
        <v>84</v>
      </c>
      <c r="D51" t="s">
        <v>156</v>
      </c>
      <c r="E51" t="s">
        <v>333</v>
      </c>
      <c r="F51" s="41">
        <v>0.34100000000000003</v>
      </c>
      <c r="G51" s="41">
        <v>2.0499999999999998</v>
      </c>
      <c r="H51" s="41">
        <v>1.891</v>
      </c>
      <c r="I51" s="41">
        <v>0.55700000000000005</v>
      </c>
      <c r="J51" s="51">
        <v>0.67</v>
      </c>
      <c r="K51" s="51">
        <v>2.67</v>
      </c>
      <c r="L51" s="55">
        <v>160.19999999999999</v>
      </c>
      <c r="M51" s="51">
        <v>1.57</v>
      </c>
      <c r="N51" s="51">
        <v>3.44</v>
      </c>
      <c r="O51" s="41">
        <v>5.5069999999999997</v>
      </c>
    </row>
    <row r="52" spans="1:15">
      <c r="A52" t="s">
        <v>86</v>
      </c>
      <c r="B52" t="str">
        <f t="shared" si="0"/>
        <v>Trial 1</v>
      </c>
      <c r="C52" t="s">
        <v>84</v>
      </c>
      <c r="D52" t="s">
        <v>156</v>
      </c>
      <c r="E52" t="s">
        <v>333</v>
      </c>
      <c r="F52" s="41">
        <v>0.33700000000000002</v>
      </c>
      <c r="G52" s="41">
        <v>2.5539999999999998</v>
      </c>
      <c r="H52" s="41">
        <v>1.8660000000000001</v>
      </c>
      <c r="I52" s="41">
        <v>0.55900000000000005</v>
      </c>
      <c r="J52" s="51">
        <v>1.17</v>
      </c>
      <c r="K52" s="51">
        <v>3.6</v>
      </c>
      <c r="L52" s="55">
        <v>145.9</v>
      </c>
      <c r="M52" s="51">
        <v>2.2999999999999998</v>
      </c>
      <c r="N52" s="51">
        <v>3.56</v>
      </c>
      <c r="O52" s="41">
        <v>6.6669999999999998</v>
      </c>
    </row>
    <row r="53" spans="1:15">
      <c r="A53" t="s">
        <v>87</v>
      </c>
      <c r="B53" t="str">
        <f t="shared" si="0"/>
        <v>Trial 1</v>
      </c>
      <c r="C53" t="s">
        <v>88</v>
      </c>
      <c r="D53" t="s">
        <v>160</v>
      </c>
      <c r="E53" t="s">
        <v>333</v>
      </c>
      <c r="F53" s="41">
        <v>0.312</v>
      </c>
      <c r="G53" s="41">
        <v>2.3319999999999999</v>
      </c>
      <c r="H53" s="41">
        <v>1.8129999999999999</v>
      </c>
      <c r="I53" s="41">
        <v>0.47699999999999998</v>
      </c>
      <c r="J53" s="51">
        <v>1.1599999999999999</v>
      </c>
      <c r="K53" s="51">
        <v>3.24</v>
      </c>
      <c r="L53" s="55">
        <v>150.5</v>
      </c>
      <c r="M53" s="51">
        <v>0</v>
      </c>
      <c r="N53" s="51">
        <v>3.4</v>
      </c>
      <c r="O53" s="41">
        <v>6.4059999999999997</v>
      </c>
    </row>
    <row r="54" spans="1:15">
      <c r="A54" t="s">
        <v>89</v>
      </c>
      <c r="B54" t="str">
        <f t="shared" si="0"/>
        <v>Trial 1</v>
      </c>
      <c r="C54" t="s">
        <v>88</v>
      </c>
      <c r="D54" t="s">
        <v>160</v>
      </c>
      <c r="E54" t="s">
        <v>333</v>
      </c>
      <c r="F54" s="41">
        <v>0.33900000000000002</v>
      </c>
      <c r="G54" s="41">
        <v>2.4750000000000001</v>
      </c>
      <c r="H54" s="41">
        <v>1.911</v>
      </c>
      <c r="I54" s="41">
        <v>0.54400000000000004</v>
      </c>
      <c r="J54" s="51">
        <v>1.49</v>
      </c>
      <c r="K54" s="51">
        <v>3.48</v>
      </c>
      <c r="L54" s="55">
        <v>143.30000000000001</v>
      </c>
      <c r="M54" s="51">
        <v>0</v>
      </c>
      <c r="N54" s="51">
        <v>3.6</v>
      </c>
      <c r="O54" s="41">
        <v>6.2889999999999997</v>
      </c>
    </row>
    <row r="55" spans="1:15">
      <c r="A55" t="s">
        <v>90</v>
      </c>
      <c r="B55" t="str">
        <f t="shared" si="0"/>
        <v>Trial 1</v>
      </c>
      <c r="C55" t="s">
        <v>88</v>
      </c>
      <c r="D55" t="s">
        <v>160</v>
      </c>
      <c r="E55" t="s">
        <v>333</v>
      </c>
      <c r="F55" s="41">
        <v>0.314</v>
      </c>
      <c r="G55" s="41">
        <v>2.4849999999999999</v>
      </c>
      <c r="H55" s="41">
        <v>1.861</v>
      </c>
      <c r="I55" s="41">
        <v>0.56799999999999995</v>
      </c>
      <c r="J55" s="51">
        <v>1.54</v>
      </c>
      <c r="K55" s="51">
        <v>3.63</v>
      </c>
      <c r="L55" s="55">
        <v>138.5</v>
      </c>
      <c r="M55" s="51">
        <v>0</v>
      </c>
      <c r="N55" s="51">
        <v>3.54</v>
      </c>
      <c r="O55" s="41">
        <v>6.7130000000000001</v>
      </c>
    </row>
    <row r="56" spans="1:15">
      <c r="A56" t="s">
        <v>91</v>
      </c>
      <c r="B56" t="str">
        <f t="shared" si="0"/>
        <v>Trial 1</v>
      </c>
      <c r="C56" t="s">
        <v>92</v>
      </c>
      <c r="D56" t="s">
        <v>320</v>
      </c>
      <c r="E56" t="s">
        <v>334</v>
      </c>
      <c r="F56" s="41">
        <v>0.34499999999999997</v>
      </c>
      <c r="G56" s="41">
        <v>2.4430000000000001</v>
      </c>
      <c r="H56" s="41">
        <v>1.881</v>
      </c>
      <c r="I56" s="41">
        <v>0</v>
      </c>
      <c r="J56" s="51">
        <v>3.54</v>
      </c>
      <c r="K56" s="51">
        <v>3.88</v>
      </c>
      <c r="L56" s="55">
        <v>147.6</v>
      </c>
      <c r="M56" s="51">
        <v>0</v>
      </c>
      <c r="N56" s="51">
        <v>3.42</v>
      </c>
      <c r="O56" s="41">
        <v>7.4219999999999997</v>
      </c>
    </row>
    <row r="57" spans="1:15">
      <c r="A57" t="s">
        <v>93</v>
      </c>
      <c r="B57" t="str">
        <f t="shared" si="0"/>
        <v>Trial 1</v>
      </c>
      <c r="C57" t="s">
        <v>92</v>
      </c>
      <c r="D57" t="s">
        <v>320</v>
      </c>
      <c r="E57" t="s">
        <v>334</v>
      </c>
      <c r="F57" s="41">
        <v>0.40600000000000003</v>
      </c>
      <c r="G57" s="41">
        <v>2.97</v>
      </c>
      <c r="H57" s="41">
        <v>2.0150000000000001</v>
      </c>
      <c r="I57" s="41">
        <v>0</v>
      </c>
      <c r="J57" s="51">
        <v>3.66</v>
      </c>
      <c r="K57" s="51">
        <v>3.95</v>
      </c>
      <c r="L57" s="55">
        <v>194.5</v>
      </c>
      <c r="M57" s="51">
        <v>0</v>
      </c>
      <c r="N57" s="51">
        <v>3.43</v>
      </c>
      <c r="O57" s="41">
        <v>8.2330000000000005</v>
      </c>
    </row>
    <row r="58" spans="1:15">
      <c r="A58" t="s">
        <v>94</v>
      </c>
      <c r="B58" t="str">
        <f t="shared" si="0"/>
        <v>Trial 1</v>
      </c>
      <c r="C58" t="s">
        <v>92</v>
      </c>
      <c r="D58" t="s">
        <v>320</v>
      </c>
      <c r="E58" t="s">
        <v>334</v>
      </c>
      <c r="F58" s="41">
        <v>0.38700000000000001</v>
      </c>
      <c r="G58" s="41">
        <v>2.6429999999999998</v>
      </c>
      <c r="H58" s="41">
        <v>1.96</v>
      </c>
      <c r="I58" s="41">
        <v>0</v>
      </c>
      <c r="J58" s="51">
        <v>3.48</v>
      </c>
      <c r="K58" s="51">
        <v>3.44</v>
      </c>
      <c r="L58" s="55">
        <v>158.69999999999999</v>
      </c>
      <c r="M58" s="51">
        <v>0</v>
      </c>
      <c r="N58" s="51">
        <v>3.33</v>
      </c>
      <c r="O58" s="41">
        <v>7.4630000000000001</v>
      </c>
    </row>
    <row r="59" spans="1:15">
      <c r="A59" t="s">
        <v>95</v>
      </c>
      <c r="B59" t="str">
        <f t="shared" si="0"/>
        <v>Trial 1</v>
      </c>
      <c r="C59" t="s">
        <v>96</v>
      </c>
      <c r="D59" t="s">
        <v>132</v>
      </c>
      <c r="E59" t="s">
        <v>334</v>
      </c>
      <c r="F59" s="41">
        <v>0.41599999999999998</v>
      </c>
      <c r="G59" s="41">
        <v>2.5979999999999999</v>
      </c>
      <c r="H59" s="41">
        <v>1.9790000000000001</v>
      </c>
      <c r="I59" s="41">
        <v>0.50800000000000001</v>
      </c>
      <c r="J59" s="51">
        <v>1.24</v>
      </c>
      <c r="K59" s="51">
        <v>4.0599999999999996</v>
      </c>
      <c r="L59" s="55">
        <v>148.4</v>
      </c>
      <c r="M59" s="51">
        <v>0</v>
      </c>
      <c r="N59" s="51">
        <v>3.7</v>
      </c>
      <c r="O59">
        <v>0.33300000000000002</v>
      </c>
    </row>
    <row r="60" spans="1:15">
      <c r="A60" t="s">
        <v>97</v>
      </c>
      <c r="B60" t="str">
        <f t="shared" si="0"/>
        <v>Trial 1</v>
      </c>
      <c r="C60" t="s">
        <v>96</v>
      </c>
      <c r="D60" t="s">
        <v>132</v>
      </c>
      <c r="E60" t="s">
        <v>334</v>
      </c>
      <c r="F60" s="41">
        <v>0.40300000000000002</v>
      </c>
      <c r="G60" s="41">
        <v>2.3479999999999999</v>
      </c>
      <c r="H60" s="41">
        <v>1.9530000000000001</v>
      </c>
      <c r="I60" s="41">
        <v>0.503</v>
      </c>
      <c r="J60" s="51">
        <v>1.18</v>
      </c>
      <c r="K60" s="51">
        <v>3.47</v>
      </c>
      <c r="L60" s="55">
        <v>148.9</v>
      </c>
      <c r="M60" s="51">
        <v>0</v>
      </c>
      <c r="N60" s="51">
        <v>3.58</v>
      </c>
      <c r="O60" s="41">
        <v>6.5640000000000001</v>
      </c>
    </row>
    <row r="61" spans="1:15">
      <c r="A61" t="s">
        <v>98</v>
      </c>
      <c r="B61" t="str">
        <f t="shared" si="0"/>
        <v>Trial 1</v>
      </c>
      <c r="C61" t="s">
        <v>96</v>
      </c>
      <c r="D61" t="s">
        <v>132</v>
      </c>
      <c r="E61" t="s">
        <v>334</v>
      </c>
      <c r="F61" s="41">
        <v>0.439</v>
      </c>
      <c r="G61" s="41">
        <v>3.1720000000000002</v>
      </c>
      <c r="H61" s="41">
        <v>2.0470000000000002</v>
      </c>
      <c r="I61" s="41">
        <v>0.52300000000000002</v>
      </c>
      <c r="J61" s="51">
        <v>3.66</v>
      </c>
      <c r="K61" s="51">
        <v>5.29</v>
      </c>
      <c r="L61" s="55">
        <v>155.30000000000001</v>
      </c>
      <c r="M61" s="51">
        <v>0</v>
      </c>
      <c r="N61" s="51">
        <v>3.26</v>
      </c>
      <c r="O61" s="41">
        <v>10.013999999999999</v>
      </c>
    </row>
    <row r="62" spans="1:15">
      <c r="A62" t="s">
        <v>99</v>
      </c>
      <c r="B62" t="str">
        <f t="shared" si="0"/>
        <v>Trial 1</v>
      </c>
      <c r="C62" t="s">
        <v>100</v>
      </c>
      <c r="D62" t="s">
        <v>136</v>
      </c>
      <c r="E62" t="s">
        <v>334</v>
      </c>
      <c r="F62" s="41">
        <v>0.43099999999999999</v>
      </c>
      <c r="G62" s="41">
        <v>3.2610000000000001</v>
      </c>
      <c r="H62" s="41">
        <v>2.0979999999999999</v>
      </c>
      <c r="I62" s="41">
        <v>0.53500000000000003</v>
      </c>
      <c r="J62" s="51">
        <v>3.44</v>
      </c>
      <c r="K62" s="51">
        <v>4.88</v>
      </c>
      <c r="L62" s="55">
        <v>144.4</v>
      </c>
      <c r="M62" s="51">
        <v>0</v>
      </c>
      <c r="N62" s="51">
        <v>3.47</v>
      </c>
      <c r="O62" s="41">
        <v>9.0060000000000002</v>
      </c>
    </row>
    <row r="63" spans="1:15">
      <c r="A63" t="s">
        <v>101</v>
      </c>
      <c r="B63" t="str">
        <f t="shared" si="0"/>
        <v>Trial 1</v>
      </c>
      <c r="C63" t="s">
        <v>100</v>
      </c>
      <c r="D63" t="s">
        <v>136</v>
      </c>
      <c r="E63" t="s">
        <v>334</v>
      </c>
      <c r="F63" s="41">
        <v>0.44700000000000001</v>
      </c>
      <c r="G63" s="41">
        <v>3.5910000000000002</v>
      </c>
      <c r="H63" s="41">
        <v>2.081</v>
      </c>
      <c r="I63" s="41">
        <v>0</v>
      </c>
      <c r="J63" s="51">
        <v>5.22</v>
      </c>
      <c r="K63" s="51">
        <v>5.99</v>
      </c>
      <c r="L63" s="55">
        <v>138.30000000000001</v>
      </c>
      <c r="M63" s="51">
        <v>0</v>
      </c>
      <c r="N63" s="51">
        <v>3.31</v>
      </c>
      <c r="O63" s="41">
        <v>11.236000000000001</v>
      </c>
    </row>
    <row r="64" spans="1:15">
      <c r="A64" t="s">
        <v>102</v>
      </c>
      <c r="B64" t="str">
        <f t="shared" si="0"/>
        <v>Trial 1</v>
      </c>
      <c r="C64" t="s">
        <v>100</v>
      </c>
      <c r="D64" t="s">
        <v>136</v>
      </c>
      <c r="E64" t="s">
        <v>334</v>
      </c>
      <c r="F64" s="41">
        <v>0.371</v>
      </c>
      <c r="G64" s="41">
        <v>2.8050000000000002</v>
      </c>
      <c r="H64" s="41">
        <v>1.982</v>
      </c>
      <c r="I64" s="41">
        <v>0.53500000000000003</v>
      </c>
      <c r="J64" s="51">
        <v>1.19</v>
      </c>
      <c r="K64" s="51">
        <v>3.46</v>
      </c>
      <c r="L64" s="55">
        <v>147.9</v>
      </c>
      <c r="M64" s="51">
        <v>0.08</v>
      </c>
      <c r="N64" s="51">
        <v>3.59</v>
      </c>
      <c r="O64" s="41">
        <v>6.79</v>
      </c>
    </row>
    <row r="65" spans="1:15">
      <c r="A65" t="s">
        <v>103</v>
      </c>
      <c r="B65" t="str">
        <f t="shared" si="0"/>
        <v>Trial 1</v>
      </c>
      <c r="C65" t="s">
        <v>104</v>
      </c>
      <c r="D65" t="s">
        <v>321</v>
      </c>
      <c r="E65" t="s">
        <v>334</v>
      </c>
      <c r="F65" s="41">
        <v>0.36</v>
      </c>
      <c r="G65" s="41">
        <v>2.8050000000000002</v>
      </c>
      <c r="H65" s="41">
        <v>1.9019999999999999</v>
      </c>
      <c r="I65" s="41">
        <v>0.35699999999999998</v>
      </c>
      <c r="J65" s="51">
        <v>1.52</v>
      </c>
      <c r="K65" s="51">
        <v>3.62</v>
      </c>
      <c r="L65" s="55">
        <v>143.30000000000001</v>
      </c>
      <c r="M65" s="51">
        <v>0.01</v>
      </c>
      <c r="N65" s="51">
        <v>3.57</v>
      </c>
      <c r="O65" s="41">
        <v>6.5709999999999997</v>
      </c>
    </row>
    <row r="66" spans="1:15">
      <c r="A66" t="s">
        <v>105</v>
      </c>
      <c r="B66" t="str">
        <f t="shared" si="0"/>
        <v>Trial 1</v>
      </c>
      <c r="C66" t="s">
        <v>104</v>
      </c>
      <c r="D66" t="s">
        <v>321</v>
      </c>
      <c r="E66" t="s">
        <v>334</v>
      </c>
      <c r="F66" s="41">
        <v>0.40600000000000003</v>
      </c>
      <c r="G66" s="41">
        <v>2.8580000000000001</v>
      </c>
      <c r="H66" s="41">
        <v>2.036</v>
      </c>
      <c r="I66" s="41">
        <v>0.45400000000000001</v>
      </c>
      <c r="J66" s="51">
        <v>1.7</v>
      </c>
      <c r="K66" s="51">
        <v>3.79</v>
      </c>
      <c r="L66" s="55">
        <v>146.5</v>
      </c>
      <c r="M66" s="51">
        <v>1.2</v>
      </c>
      <c r="N66" s="51">
        <v>3.6</v>
      </c>
      <c r="O66" s="41">
        <v>7.0010000000000003</v>
      </c>
    </row>
    <row r="67" spans="1:15">
      <c r="A67" t="s">
        <v>106</v>
      </c>
      <c r="B67" t="str">
        <f t="shared" si="0"/>
        <v>Trial 1</v>
      </c>
      <c r="C67" t="s">
        <v>104</v>
      </c>
      <c r="D67" t="s">
        <v>321</v>
      </c>
      <c r="E67" t="s">
        <v>334</v>
      </c>
      <c r="F67" s="41">
        <v>0.44500000000000001</v>
      </c>
      <c r="G67" s="41">
        <v>2.7890000000000001</v>
      </c>
      <c r="H67" s="41">
        <v>1.98</v>
      </c>
      <c r="I67" s="41">
        <v>0.45300000000000001</v>
      </c>
      <c r="J67" s="51">
        <v>1.26</v>
      </c>
      <c r="K67" s="51">
        <v>3.75</v>
      </c>
      <c r="L67" s="55">
        <v>149.19999999999999</v>
      </c>
      <c r="M67" s="51">
        <v>0.45</v>
      </c>
      <c r="N67" s="51">
        <v>3.64</v>
      </c>
      <c r="O67" s="41">
        <v>7.0540000000000003</v>
      </c>
    </row>
    <row r="68" spans="1:15">
      <c r="A68" t="s">
        <v>107</v>
      </c>
      <c r="B68" t="str">
        <f t="shared" ref="B68:B127" si="1">B67</f>
        <v>Trial 1</v>
      </c>
      <c r="C68" t="s">
        <v>108</v>
      </c>
      <c r="D68" t="s">
        <v>322</v>
      </c>
      <c r="E68" t="s">
        <v>334</v>
      </c>
      <c r="F68" s="41">
        <v>0.35299999999999998</v>
      </c>
      <c r="G68" s="41">
        <v>3.37</v>
      </c>
      <c r="H68" s="41">
        <v>1.784</v>
      </c>
      <c r="I68" s="41">
        <v>0</v>
      </c>
      <c r="J68" s="51">
        <v>3.85</v>
      </c>
      <c r="K68" s="51">
        <v>4.92</v>
      </c>
      <c r="L68" s="55">
        <v>141</v>
      </c>
      <c r="M68" s="51">
        <v>0.45</v>
      </c>
      <c r="N68" s="51">
        <v>3.16</v>
      </c>
      <c r="O68" s="41">
        <v>9.9290000000000003</v>
      </c>
    </row>
    <row r="69" spans="1:15">
      <c r="A69" t="s">
        <v>109</v>
      </c>
      <c r="B69" t="str">
        <f t="shared" si="1"/>
        <v>Trial 1</v>
      </c>
      <c r="C69" t="s">
        <v>108</v>
      </c>
      <c r="D69" t="s">
        <v>322</v>
      </c>
      <c r="E69" t="s">
        <v>334</v>
      </c>
      <c r="F69" s="41">
        <v>0.38800000000000001</v>
      </c>
      <c r="G69" s="41">
        <v>2.714</v>
      </c>
      <c r="H69" s="41">
        <v>1.772</v>
      </c>
      <c r="I69" s="41">
        <v>0.308</v>
      </c>
      <c r="J69" s="51">
        <v>1.78</v>
      </c>
      <c r="K69" s="51">
        <v>3.32</v>
      </c>
      <c r="L69" s="55">
        <v>145.6</v>
      </c>
      <c r="M69" s="51">
        <v>1.1299999999999999</v>
      </c>
      <c r="N69" s="51">
        <v>3.29</v>
      </c>
      <c r="O69" s="41">
        <v>7.3780000000000001</v>
      </c>
    </row>
    <row r="70" spans="1:15">
      <c r="A70" t="s">
        <v>110</v>
      </c>
      <c r="B70" t="str">
        <f t="shared" si="1"/>
        <v>Trial 1</v>
      </c>
      <c r="C70" t="s">
        <v>108</v>
      </c>
      <c r="D70" t="s">
        <v>322</v>
      </c>
      <c r="E70" t="s">
        <v>334</v>
      </c>
      <c r="F70" s="41">
        <v>0.40400000000000003</v>
      </c>
      <c r="G70" s="41">
        <v>2.6309999999999998</v>
      </c>
      <c r="H70" s="41">
        <v>1.9450000000000001</v>
      </c>
      <c r="I70" s="41">
        <v>0.34</v>
      </c>
      <c r="J70" s="51">
        <v>0.79</v>
      </c>
      <c r="K70" s="51">
        <v>2.56</v>
      </c>
      <c r="L70" s="55">
        <v>125.2</v>
      </c>
      <c r="M70" s="51">
        <v>0.73</v>
      </c>
      <c r="N70" s="51">
        <v>3.48</v>
      </c>
      <c r="O70" s="41">
        <v>6.4870000000000001</v>
      </c>
    </row>
    <row r="71" spans="1:15">
      <c r="A71" t="s">
        <v>111</v>
      </c>
      <c r="B71" t="str">
        <f t="shared" si="1"/>
        <v>Trial 1</v>
      </c>
      <c r="C71" t="s">
        <v>112</v>
      </c>
      <c r="D71" t="s">
        <v>148</v>
      </c>
      <c r="E71" t="s">
        <v>334</v>
      </c>
      <c r="F71" s="41">
        <v>0.29799999999999999</v>
      </c>
      <c r="G71" s="41">
        <v>1.6339999999999999</v>
      </c>
      <c r="H71" s="41">
        <v>1.7450000000000001</v>
      </c>
      <c r="I71" s="41">
        <v>0.315</v>
      </c>
      <c r="J71" s="51">
        <v>0.37</v>
      </c>
      <c r="K71" s="51">
        <v>1.36</v>
      </c>
      <c r="L71" s="55">
        <v>152.19999999999999</v>
      </c>
      <c r="M71" s="51">
        <v>2.09</v>
      </c>
      <c r="N71" s="51">
        <v>3.54</v>
      </c>
      <c r="O71" s="41">
        <v>3.8860000000000001</v>
      </c>
    </row>
    <row r="72" spans="1:15">
      <c r="A72" t="s">
        <v>113</v>
      </c>
      <c r="B72" t="str">
        <f t="shared" si="1"/>
        <v>Trial 1</v>
      </c>
      <c r="C72" t="s">
        <v>112</v>
      </c>
      <c r="D72" t="s">
        <v>148</v>
      </c>
      <c r="E72" t="s">
        <v>334</v>
      </c>
      <c r="F72" s="41">
        <v>0.28699999999999998</v>
      </c>
      <c r="G72" s="41">
        <v>1.571</v>
      </c>
      <c r="H72" s="41">
        <v>1.6990000000000001</v>
      </c>
      <c r="I72" s="41">
        <v>0.376</v>
      </c>
      <c r="J72" s="51">
        <v>0.31</v>
      </c>
      <c r="K72" s="51">
        <v>1.1200000000000001</v>
      </c>
      <c r="L72" s="55">
        <v>130.80000000000001</v>
      </c>
      <c r="M72" s="51">
        <v>2.78</v>
      </c>
      <c r="N72" s="51">
        <v>3.51</v>
      </c>
      <c r="O72" s="41">
        <v>3.7360000000000002</v>
      </c>
    </row>
    <row r="73" spans="1:15">
      <c r="A73" t="s">
        <v>114</v>
      </c>
      <c r="B73" t="str">
        <f t="shared" si="1"/>
        <v>Trial 1</v>
      </c>
      <c r="C73" t="s">
        <v>112</v>
      </c>
      <c r="D73" t="s">
        <v>148</v>
      </c>
      <c r="E73" t="s">
        <v>334</v>
      </c>
      <c r="F73" s="41">
        <v>0.308</v>
      </c>
      <c r="G73" s="41">
        <v>1.593</v>
      </c>
      <c r="H73" s="41">
        <v>1.8740000000000001</v>
      </c>
      <c r="I73" s="41">
        <v>0.33500000000000002</v>
      </c>
      <c r="J73" s="51">
        <v>0.15</v>
      </c>
      <c r="K73" s="51">
        <v>0.79</v>
      </c>
      <c r="L73" s="55">
        <v>163.1</v>
      </c>
      <c r="M73" s="51">
        <v>1.48</v>
      </c>
      <c r="N73" s="51">
        <v>3.46</v>
      </c>
      <c r="O73" s="41">
        <v>3.1960000000000002</v>
      </c>
    </row>
    <row r="74" spans="1:15">
      <c r="A74" t="s">
        <v>115</v>
      </c>
      <c r="B74" t="str">
        <f t="shared" si="1"/>
        <v>Trial 1</v>
      </c>
      <c r="C74" t="s">
        <v>116</v>
      </c>
      <c r="D74" t="s">
        <v>323</v>
      </c>
      <c r="E74" t="s">
        <v>334</v>
      </c>
      <c r="F74" s="41">
        <v>0.317</v>
      </c>
      <c r="G74" s="41">
        <v>2.0110000000000001</v>
      </c>
      <c r="H74" s="41">
        <v>1.7470000000000001</v>
      </c>
      <c r="I74" s="41">
        <v>0.371</v>
      </c>
      <c r="J74" s="51">
        <v>0.51</v>
      </c>
      <c r="K74" s="51">
        <v>1.78</v>
      </c>
      <c r="L74" s="55">
        <v>130.30000000000001</v>
      </c>
      <c r="M74" s="51">
        <v>2.36</v>
      </c>
      <c r="N74" s="51">
        <v>3.6</v>
      </c>
      <c r="O74" s="41">
        <v>4.54</v>
      </c>
    </row>
    <row r="75" spans="1:15">
      <c r="A75" t="s">
        <v>117</v>
      </c>
      <c r="B75" t="str">
        <f t="shared" si="1"/>
        <v>Trial 1</v>
      </c>
      <c r="C75" t="s">
        <v>116</v>
      </c>
      <c r="D75" t="s">
        <v>323</v>
      </c>
      <c r="E75" t="s">
        <v>334</v>
      </c>
      <c r="F75" s="41">
        <v>0.32400000000000001</v>
      </c>
      <c r="G75" s="41">
        <v>2.4209999999999998</v>
      </c>
      <c r="H75" s="41">
        <v>1.845</v>
      </c>
      <c r="I75" s="41">
        <v>0.42099999999999999</v>
      </c>
      <c r="J75" s="51">
        <v>0.35</v>
      </c>
      <c r="K75" s="51">
        <v>2.1800000000000002</v>
      </c>
      <c r="L75" s="55">
        <v>142.4</v>
      </c>
      <c r="M75" s="51">
        <v>1.53</v>
      </c>
      <c r="N75" s="51">
        <v>3.58</v>
      </c>
      <c r="O75" s="41">
        <v>5.1920000000000002</v>
      </c>
    </row>
    <row r="76" spans="1:15">
      <c r="A76" t="s">
        <v>118</v>
      </c>
      <c r="B76" t="str">
        <f t="shared" si="1"/>
        <v>Trial 1</v>
      </c>
      <c r="C76" t="s">
        <v>116</v>
      </c>
      <c r="D76" t="s">
        <v>323</v>
      </c>
      <c r="E76" t="s">
        <v>334</v>
      </c>
      <c r="F76" s="41">
        <v>0.34699999999999998</v>
      </c>
      <c r="G76" s="41">
        <v>1.9650000000000001</v>
      </c>
      <c r="H76" s="41">
        <v>1.8069999999999999</v>
      </c>
      <c r="I76" s="41">
        <v>0.39600000000000002</v>
      </c>
      <c r="J76" s="51">
        <v>0.35</v>
      </c>
      <c r="K76" s="51">
        <v>1.67</v>
      </c>
      <c r="L76" s="55">
        <v>126.2</v>
      </c>
      <c r="M76" s="51">
        <v>2.29</v>
      </c>
      <c r="N76" s="51">
        <v>3.38</v>
      </c>
      <c r="O76" s="41">
        <v>4.3140000000000001</v>
      </c>
    </row>
    <row r="77" spans="1:15">
      <c r="A77" t="s">
        <v>119</v>
      </c>
      <c r="B77" t="str">
        <f t="shared" si="1"/>
        <v>Trial 1</v>
      </c>
      <c r="C77" t="s">
        <v>120</v>
      </c>
      <c r="D77" t="s">
        <v>156</v>
      </c>
      <c r="E77" t="s">
        <v>334</v>
      </c>
      <c r="F77" s="41">
        <v>0.33400000000000002</v>
      </c>
      <c r="G77" s="41">
        <v>2.2970000000000002</v>
      </c>
      <c r="H77" s="41">
        <v>1.7849999999999999</v>
      </c>
      <c r="I77" s="41">
        <v>0.41299999999999998</v>
      </c>
      <c r="J77" s="51">
        <v>0.26</v>
      </c>
      <c r="K77" s="51">
        <v>2.52</v>
      </c>
      <c r="L77" s="55">
        <v>132.9</v>
      </c>
      <c r="M77" s="51">
        <v>2.4300000000000002</v>
      </c>
      <c r="N77" s="51">
        <v>3.63</v>
      </c>
      <c r="O77" s="41">
        <v>5.1029999999999998</v>
      </c>
    </row>
    <row r="78" spans="1:15">
      <c r="A78" t="s">
        <v>121</v>
      </c>
      <c r="B78" t="str">
        <f t="shared" si="1"/>
        <v>Trial 1</v>
      </c>
      <c r="C78" t="s">
        <v>120</v>
      </c>
      <c r="D78" t="s">
        <v>156</v>
      </c>
      <c r="E78" t="s">
        <v>334</v>
      </c>
      <c r="F78" s="41">
        <v>0.372</v>
      </c>
      <c r="G78" s="41">
        <v>1.9219999999999999</v>
      </c>
      <c r="H78" s="41">
        <v>1.9610000000000001</v>
      </c>
      <c r="I78" s="41">
        <v>0.53800000000000003</v>
      </c>
      <c r="J78" s="51">
        <v>0.37</v>
      </c>
      <c r="K78" s="51">
        <v>1.74</v>
      </c>
      <c r="L78" s="55">
        <v>151.80000000000001</v>
      </c>
      <c r="M78" s="51">
        <v>2.1800000000000002</v>
      </c>
      <c r="N78" s="51">
        <v>3.49</v>
      </c>
      <c r="O78" s="41">
        <v>4.3780000000000001</v>
      </c>
    </row>
    <row r="79" spans="1:15">
      <c r="A79" t="s">
        <v>122</v>
      </c>
      <c r="B79" t="str">
        <f t="shared" si="1"/>
        <v>Trial 1</v>
      </c>
      <c r="C79" t="s">
        <v>120</v>
      </c>
      <c r="D79" t="s">
        <v>156</v>
      </c>
      <c r="E79" t="s">
        <v>334</v>
      </c>
      <c r="F79" s="41">
        <v>0.32400000000000001</v>
      </c>
      <c r="G79" s="41">
        <v>1.9870000000000001</v>
      </c>
      <c r="H79" s="41">
        <v>1.8839999999999999</v>
      </c>
      <c r="I79" s="41">
        <v>0.51800000000000002</v>
      </c>
      <c r="J79" s="51">
        <v>0.47</v>
      </c>
      <c r="K79" s="51">
        <v>2.02</v>
      </c>
      <c r="L79" s="55">
        <v>131.80000000000001</v>
      </c>
      <c r="M79" s="51">
        <v>2.44</v>
      </c>
      <c r="N79" s="51">
        <v>3.53</v>
      </c>
      <c r="O79" s="41">
        <v>4.6859999999999999</v>
      </c>
    </row>
    <row r="80" spans="1:15">
      <c r="A80" t="s">
        <v>123</v>
      </c>
      <c r="B80" t="str">
        <f t="shared" si="1"/>
        <v>Trial 1</v>
      </c>
      <c r="C80" t="s">
        <v>124</v>
      </c>
      <c r="D80" t="s">
        <v>160</v>
      </c>
      <c r="E80" t="s">
        <v>334</v>
      </c>
      <c r="F80" s="41">
        <v>0.313</v>
      </c>
      <c r="G80" s="41">
        <v>1.681</v>
      </c>
      <c r="H80" s="41">
        <v>1.8480000000000001</v>
      </c>
      <c r="I80" s="41">
        <v>0.42</v>
      </c>
      <c r="J80" s="51">
        <v>0.25</v>
      </c>
      <c r="K80" s="51">
        <v>1.46</v>
      </c>
      <c r="L80" s="55">
        <v>145.80000000000001</v>
      </c>
      <c r="M80" s="51">
        <v>2.2999999999999998</v>
      </c>
      <c r="N80" s="51">
        <v>3.49</v>
      </c>
      <c r="O80" s="41">
        <v>3.86</v>
      </c>
    </row>
    <row r="81" spans="1:15">
      <c r="A81" t="s">
        <v>125</v>
      </c>
      <c r="B81" t="str">
        <f t="shared" si="1"/>
        <v>Trial 1</v>
      </c>
      <c r="C81" t="s">
        <v>124</v>
      </c>
      <c r="D81" t="s">
        <v>160</v>
      </c>
      <c r="E81" t="s">
        <v>334</v>
      </c>
      <c r="F81" s="41">
        <v>0.37</v>
      </c>
      <c r="G81" s="41">
        <v>1.8080000000000001</v>
      </c>
      <c r="H81" s="41">
        <v>1.972</v>
      </c>
      <c r="I81" s="41">
        <v>0.56000000000000005</v>
      </c>
      <c r="J81" s="51">
        <v>0.28999999999999998</v>
      </c>
      <c r="K81" s="51">
        <v>1.77</v>
      </c>
      <c r="L81" s="55">
        <v>137.80000000000001</v>
      </c>
      <c r="M81" s="51">
        <v>2.94</v>
      </c>
      <c r="N81" s="51">
        <v>3.62</v>
      </c>
      <c r="O81" s="41">
        <v>4.3</v>
      </c>
    </row>
    <row r="82" spans="1:15">
      <c r="A82" t="s">
        <v>126</v>
      </c>
      <c r="B82" t="str">
        <f t="shared" si="1"/>
        <v>Trial 1</v>
      </c>
      <c r="C82" t="s">
        <v>124</v>
      </c>
      <c r="D82" t="s">
        <v>160</v>
      </c>
      <c r="E82" t="s">
        <v>334</v>
      </c>
      <c r="F82" s="41">
        <v>0.33200000000000002</v>
      </c>
      <c r="G82" s="41">
        <v>1.8460000000000001</v>
      </c>
      <c r="H82" s="41">
        <v>1.95</v>
      </c>
      <c r="I82" s="41">
        <v>0.41599999999999998</v>
      </c>
      <c r="J82" s="51">
        <v>0.26</v>
      </c>
      <c r="K82" s="51">
        <v>1.71</v>
      </c>
      <c r="L82" s="55">
        <v>143.80000000000001</v>
      </c>
      <c r="M82" s="51">
        <v>2.52</v>
      </c>
      <c r="N82" s="51">
        <v>3.55</v>
      </c>
      <c r="O82" s="41">
        <v>4.0730000000000004</v>
      </c>
    </row>
    <row r="83" spans="1:15">
      <c r="A83" t="s">
        <v>127</v>
      </c>
      <c r="B83" t="str">
        <f t="shared" si="1"/>
        <v>Trial 1</v>
      </c>
      <c r="C83" t="s">
        <v>128</v>
      </c>
      <c r="D83" t="s">
        <v>320</v>
      </c>
      <c r="E83" t="s">
        <v>331</v>
      </c>
      <c r="F83" s="41">
        <v>0.25700000000000001</v>
      </c>
      <c r="G83" s="41">
        <v>1.5149999999999999</v>
      </c>
      <c r="H83" s="41">
        <v>2.165</v>
      </c>
      <c r="I83" s="41">
        <v>0.22</v>
      </c>
      <c r="J83" s="51">
        <v>0</v>
      </c>
      <c r="K83" s="51">
        <v>0.44</v>
      </c>
      <c r="L83" s="55">
        <v>197.4</v>
      </c>
      <c r="M83" s="51">
        <v>1.02</v>
      </c>
      <c r="N83" s="51">
        <v>3.46</v>
      </c>
      <c r="O83" s="41">
        <v>2.5129999999999999</v>
      </c>
    </row>
    <row r="84" spans="1:15">
      <c r="A84" t="s">
        <v>129</v>
      </c>
      <c r="B84" t="str">
        <f t="shared" si="1"/>
        <v>Trial 1</v>
      </c>
      <c r="C84" t="s">
        <v>128</v>
      </c>
      <c r="D84" t="s">
        <v>320</v>
      </c>
      <c r="E84" t="s">
        <v>331</v>
      </c>
      <c r="F84" s="41">
        <v>0.21299999999999999</v>
      </c>
      <c r="G84" s="41">
        <v>1.734</v>
      </c>
      <c r="H84" s="41">
        <v>2.0680000000000001</v>
      </c>
      <c r="I84" s="41">
        <v>0.312</v>
      </c>
      <c r="J84" s="51">
        <v>0</v>
      </c>
      <c r="K84" s="51">
        <v>0.3</v>
      </c>
      <c r="L84" s="55">
        <v>188.5</v>
      </c>
      <c r="M84" s="51">
        <v>0.7</v>
      </c>
      <c r="N84" s="51">
        <v>3.41</v>
      </c>
      <c r="O84" s="41">
        <v>2.4049999999999998</v>
      </c>
    </row>
    <row r="85" spans="1:15">
      <c r="A85" t="s">
        <v>130</v>
      </c>
      <c r="B85" t="str">
        <f t="shared" si="1"/>
        <v>Trial 1</v>
      </c>
      <c r="C85" t="s">
        <v>128</v>
      </c>
      <c r="D85" t="s">
        <v>320</v>
      </c>
      <c r="E85" t="s">
        <v>331</v>
      </c>
      <c r="F85" s="41">
        <v>0.24</v>
      </c>
      <c r="G85" s="41">
        <v>1.5580000000000001</v>
      </c>
      <c r="H85" s="41">
        <v>2.1339999999999999</v>
      </c>
      <c r="I85" s="41">
        <v>0.377</v>
      </c>
      <c r="J85" s="51">
        <v>0.02</v>
      </c>
      <c r="K85" s="51">
        <v>0.33</v>
      </c>
      <c r="L85" s="55">
        <v>183.8</v>
      </c>
      <c r="M85" s="51">
        <v>0.14000000000000001</v>
      </c>
      <c r="N85" s="51">
        <v>3.77</v>
      </c>
      <c r="O85" s="41">
        <v>2.1110000000000002</v>
      </c>
    </row>
    <row r="86" spans="1:15">
      <c r="A86" t="s">
        <v>131</v>
      </c>
      <c r="B86" t="str">
        <f t="shared" si="1"/>
        <v>Trial 1</v>
      </c>
      <c r="C86" t="s">
        <v>132</v>
      </c>
      <c r="D86" t="s">
        <v>132</v>
      </c>
      <c r="E86" t="s">
        <v>331</v>
      </c>
      <c r="F86" s="41">
        <v>0.26300000000000001</v>
      </c>
      <c r="G86" s="41">
        <v>1.5740000000000001</v>
      </c>
      <c r="H86" s="41">
        <v>2.12</v>
      </c>
      <c r="I86" s="41">
        <v>0.29399999999999998</v>
      </c>
      <c r="J86" s="51">
        <v>0.01</v>
      </c>
      <c r="K86" s="51">
        <v>0.28999999999999998</v>
      </c>
      <c r="L86" s="55">
        <v>164.2</v>
      </c>
      <c r="M86" s="51">
        <v>0.25</v>
      </c>
      <c r="N86" s="51">
        <v>3.81</v>
      </c>
      <c r="O86" s="41">
        <v>1.887</v>
      </c>
    </row>
    <row r="87" spans="1:15">
      <c r="A87" t="s">
        <v>133</v>
      </c>
      <c r="B87" t="str">
        <f t="shared" si="1"/>
        <v>Trial 1</v>
      </c>
      <c r="C87" t="s">
        <v>132</v>
      </c>
      <c r="D87" t="s">
        <v>132</v>
      </c>
      <c r="E87" t="s">
        <v>331</v>
      </c>
      <c r="F87" s="41">
        <v>0.24299999999999999</v>
      </c>
      <c r="G87" s="41">
        <v>1.6839999999999999</v>
      </c>
      <c r="H87" s="41">
        <v>2.0449999999999999</v>
      </c>
      <c r="I87" s="41">
        <v>0.33300000000000002</v>
      </c>
      <c r="J87" s="51">
        <v>0</v>
      </c>
      <c r="K87" s="51">
        <v>0.32</v>
      </c>
      <c r="L87" s="55">
        <v>182.6</v>
      </c>
      <c r="M87" s="51">
        <v>0.2</v>
      </c>
      <c r="N87" s="51">
        <v>3.62</v>
      </c>
      <c r="O87" s="41">
        <v>2.0150000000000001</v>
      </c>
    </row>
    <row r="88" spans="1:15">
      <c r="A88" t="s">
        <v>134</v>
      </c>
      <c r="B88" t="str">
        <f t="shared" si="1"/>
        <v>Trial 1</v>
      </c>
      <c r="C88" t="s">
        <v>132</v>
      </c>
      <c r="D88" t="s">
        <v>132</v>
      </c>
      <c r="E88" t="s">
        <v>331</v>
      </c>
      <c r="F88" s="41">
        <v>0.246</v>
      </c>
      <c r="G88" s="41">
        <v>2.0470000000000002</v>
      </c>
      <c r="H88" s="41">
        <v>2.0630000000000002</v>
      </c>
      <c r="I88" s="41">
        <v>0.28499999999999998</v>
      </c>
      <c r="J88" s="51">
        <v>0</v>
      </c>
      <c r="K88" s="51">
        <v>0.27</v>
      </c>
      <c r="L88" s="55">
        <v>180.9</v>
      </c>
      <c r="M88" s="51">
        <v>0.9</v>
      </c>
      <c r="N88" s="51">
        <v>3.74</v>
      </c>
      <c r="O88" s="41">
        <v>2.282</v>
      </c>
    </row>
    <row r="89" spans="1:15">
      <c r="A89" t="s">
        <v>135</v>
      </c>
      <c r="B89" t="str">
        <f t="shared" si="1"/>
        <v>Trial 1</v>
      </c>
      <c r="C89" t="s">
        <v>136</v>
      </c>
      <c r="D89" t="s">
        <v>136</v>
      </c>
      <c r="E89" t="s">
        <v>331</v>
      </c>
      <c r="F89" s="41">
        <v>0.246</v>
      </c>
      <c r="G89" s="41">
        <v>1.425</v>
      </c>
      <c r="H89" s="41">
        <v>1.9350000000000001</v>
      </c>
      <c r="I89" s="41">
        <v>0.441</v>
      </c>
      <c r="J89" s="51">
        <v>0</v>
      </c>
      <c r="K89" s="51">
        <v>0.78</v>
      </c>
      <c r="L89" s="55">
        <v>160</v>
      </c>
      <c r="M89" s="51">
        <v>2.44</v>
      </c>
      <c r="N89" s="51">
        <v>3.87</v>
      </c>
      <c r="O89" s="41">
        <v>2.3580000000000001</v>
      </c>
    </row>
    <row r="90" spans="1:15">
      <c r="A90" t="s">
        <v>137</v>
      </c>
      <c r="B90" t="str">
        <f t="shared" si="1"/>
        <v>Trial 1</v>
      </c>
      <c r="C90" t="s">
        <v>136</v>
      </c>
      <c r="D90" t="s">
        <v>136</v>
      </c>
      <c r="E90" t="s">
        <v>331</v>
      </c>
      <c r="F90" s="41">
        <v>0.25700000000000001</v>
      </c>
      <c r="G90" s="41">
        <v>1.472</v>
      </c>
      <c r="H90" s="41">
        <v>1.9670000000000001</v>
      </c>
      <c r="I90" s="41">
        <v>0.439</v>
      </c>
      <c r="J90" s="51">
        <v>0</v>
      </c>
      <c r="K90" s="51">
        <v>0.77</v>
      </c>
      <c r="L90" s="55">
        <v>141.5</v>
      </c>
      <c r="M90" s="51">
        <v>2.2000000000000002</v>
      </c>
      <c r="N90" s="51">
        <v>3.93</v>
      </c>
      <c r="O90" s="41">
        <v>2.2450000000000001</v>
      </c>
    </row>
    <row r="91" spans="1:15">
      <c r="A91" t="s">
        <v>138</v>
      </c>
      <c r="B91" t="str">
        <f t="shared" si="1"/>
        <v>Trial 1</v>
      </c>
      <c r="C91" t="s">
        <v>136</v>
      </c>
      <c r="D91" t="s">
        <v>136</v>
      </c>
      <c r="E91" t="s">
        <v>331</v>
      </c>
      <c r="F91" s="41">
        <v>0.26800000000000002</v>
      </c>
      <c r="G91" s="41">
        <v>1.5029999999999999</v>
      </c>
      <c r="H91" s="41">
        <v>2.1309999999999998</v>
      </c>
      <c r="I91" s="41">
        <v>0.42</v>
      </c>
      <c r="J91" s="51">
        <v>0.2</v>
      </c>
      <c r="K91" s="51">
        <v>0.64</v>
      </c>
      <c r="L91" s="55">
        <v>175.3</v>
      </c>
      <c r="M91" s="51">
        <v>1.66</v>
      </c>
      <c r="N91" s="51">
        <v>3.81</v>
      </c>
      <c r="O91" s="41">
        <v>2.6339999999999999</v>
      </c>
    </row>
    <row r="92" spans="1:15">
      <c r="A92" t="s">
        <v>139</v>
      </c>
      <c r="B92" t="str">
        <f t="shared" si="1"/>
        <v>Trial 1</v>
      </c>
      <c r="C92" t="s">
        <v>140</v>
      </c>
      <c r="D92" t="s">
        <v>321</v>
      </c>
      <c r="E92" t="s">
        <v>331</v>
      </c>
      <c r="F92" s="41">
        <v>0.221</v>
      </c>
      <c r="G92" s="41">
        <v>1.8380000000000001</v>
      </c>
      <c r="H92" s="41">
        <v>1.7909999999999999</v>
      </c>
      <c r="I92" s="41">
        <v>0.317</v>
      </c>
      <c r="J92" s="51">
        <v>0.22</v>
      </c>
      <c r="K92" s="51">
        <v>0.67</v>
      </c>
      <c r="L92" s="55">
        <v>156.5</v>
      </c>
      <c r="M92" s="51">
        <v>0.87</v>
      </c>
      <c r="N92" s="51">
        <v>3.69</v>
      </c>
      <c r="O92" s="41">
        <v>1.1499999999999999</v>
      </c>
    </row>
    <row r="93" spans="1:15">
      <c r="A93" t="s">
        <v>141</v>
      </c>
      <c r="B93" t="str">
        <f t="shared" si="1"/>
        <v>Trial 1</v>
      </c>
      <c r="C93" t="s">
        <v>140</v>
      </c>
      <c r="D93" t="s">
        <v>321</v>
      </c>
      <c r="E93" t="s">
        <v>331</v>
      </c>
      <c r="F93" s="41">
        <v>0.216</v>
      </c>
      <c r="G93" s="41">
        <v>1.5549999999999999</v>
      </c>
      <c r="H93" s="41">
        <v>1.6870000000000001</v>
      </c>
      <c r="I93" s="41">
        <v>0.33800000000000002</v>
      </c>
      <c r="J93" s="51">
        <v>0.04</v>
      </c>
      <c r="K93" s="51">
        <v>0.72</v>
      </c>
      <c r="L93" s="55">
        <v>156.80000000000001</v>
      </c>
      <c r="M93" s="51">
        <v>0</v>
      </c>
      <c r="N93" s="51">
        <v>3.63</v>
      </c>
      <c r="O93" s="41">
        <v>1.9179999999999999</v>
      </c>
    </row>
    <row r="94" spans="1:15">
      <c r="A94" t="s">
        <v>142</v>
      </c>
      <c r="B94" t="str">
        <f t="shared" si="1"/>
        <v>Trial 1</v>
      </c>
      <c r="C94" t="s">
        <v>140</v>
      </c>
      <c r="D94" t="s">
        <v>321</v>
      </c>
      <c r="E94" t="s">
        <v>331</v>
      </c>
      <c r="F94" s="41">
        <v>0.20699999999999999</v>
      </c>
      <c r="G94" s="41">
        <v>1.712</v>
      </c>
      <c r="H94" s="41">
        <v>1.5580000000000001</v>
      </c>
      <c r="I94" s="41">
        <v>0.39100000000000001</v>
      </c>
      <c r="J94" s="51">
        <v>0.02</v>
      </c>
      <c r="K94" s="51">
        <v>0.85</v>
      </c>
      <c r="L94" s="55">
        <v>142.30000000000001</v>
      </c>
      <c r="M94" s="51">
        <v>0.88</v>
      </c>
      <c r="N94" s="51">
        <v>3.44</v>
      </c>
      <c r="O94" s="41">
        <v>2.3170000000000002</v>
      </c>
    </row>
    <row r="95" spans="1:15">
      <c r="A95" t="s">
        <v>143</v>
      </c>
      <c r="B95" t="str">
        <f t="shared" si="1"/>
        <v>Trial 1</v>
      </c>
      <c r="C95" t="s">
        <v>144</v>
      </c>
      <c r="D95" t="s">
        <v>322</v>
      </c>
      <c r="E95" t="s">
        <v>331</v>
      </c>
      <c r="F95" s="41">
        <v>0.23799999999999999</v>
      </c>
      <c r="G95" s="41">
        <v>1.59</v>
      </c>
      <c r="H95" s="41">
        <v>2.077</v>
      </c>
      <c r="I95" s="41">
        <v>0.29599999999999999</v>
      </c>
      <c r="J95" s="51">
        <v>0.02</v>
      </c>
      <c r="K95" s="51">
        <v>0.43</v>
      </c>
      <c r="L95" s="55">
        <v>180.1</v>
      </c>
      <c r="M95" s="51">
        <v>0</v>
      </c>
      <c r="N95" s="51">
        <v>3.6</v>
      </c>
      <c r="O95" s="41">
        <v>1.9750000000000001</v>
      </c>
    </row>
    <row r="96" spans="1:15">
      <c r="A96" t="s">
        <v>145</v>
      </c>
      <c r="B96" t="str">
        <f t="shared" si="1"/>
        <v>Trial 1</v>
      </c>
      <c r="C96" t="s">
        <v>144</v>
      </c>
      <c r="D96" t="s">
        <v>322</v>
      </c>
      <c r="E96" t="s">
        <v>331</v>
      </c>
      <c r="F96" s="41">
        <v>0.20599999999999999</v>
      </c>
      <c r="G96" s="41">
        <v>1.9530000000000001</v>
      </c>
      <c r="H96" s="41">
        <v>2.085</v>
      </c>
      <c r="I96" s="41">
        <v>0.33500000000000002</v>
      </c>
      <c r="J96" s="51">
        <v>0.03</v>
      </c>
      <c r="K96" s="51">
        <v>0.44</v>
      </c>
      <c r="L96" s="55">
        <v>189.2</v>
      </c>
      <c r="M96" s="51">
        <v>0</v>
      </c>
      <c r="N96" s="51">
        <v>3.41</v>
      </c>
      <c r="O96" s="41">
        <v>2.0760000000000001</v>
      </c>
    </row>
    <row r="97" spans="1:15">
      <c r="A97" t="s">
        <v>146</v>
      </c>
      <c r="B97" t="str">
        <f t="shared" si="1"/>
        <v>Trial 1</v>
      </c>
      <c r="C97" t="s">
        <v>144</v>
      </c>
      <c r="D97" t="s">
        <v>322</v>
      </c>
      <c r="E97" t="s">
        <v>331</v>
      </c>
      <c r="F97" s="41">
        <v>0.23200000000000001</v>
      </c>
      <c r="G97" s="41">
        <v>1.8120000000000001</v>
      </c>
      <c r="H97" s="41">
        <v>2.1829999999999998</v>
      </c>
      <c r="I97" s="41">
        <v>0.29299999999999998</v>
      </c>
      <c r="J97" s="51">
        <v>0.01</v>
      </c>
      <c r="K97" s="51">
        <v>0.52</v>
      </c>
      <c r="L97" s="55">
        <v>210.3</v>
      </c>
      <c r="M97" s="51">
        <v>0</v>
      </c>
      <c r="N97" s="51">
        <v>3.63</v>
      </c>
      <c r="O97" s="41">
        <v>1.9370000000000001</v>
      </c>
    </row>
    <row r="98" spans="1:15">
      <c r="A98" t="s">
        <v>147</v>
      </c>
      <c r="B98" t="str">
        <f t="shared" si="1"/>
        <v>Trial 1</v>
      </c>
      <c r="C98" t="s">
        <v>148</v>
      </c>
      <c r="D98" t="s">
        <v>148</v>
      </c>
      <c r="E98" t="s">
        <v>331</v>
      </c>
      <c r="F98" s="41">
        <v>0.26200000000000001</v>
      </c>
      <c r="G98" s="41">
        <v>1.667</v>
      </c>
      <c r="H98" s="41">
        <v>2.0139999999999998</v>
      </c>
      <c r="I98" s="41">
        <v>0.38900000000000001</v>
      </c>
      <c r="J98" s="51">
        <v>0.01</v>
      </c>
      <c r="K98" s="51">
        <v>0.74</v>
      </c>
      <c r="L98" s="55">
        <v>204.3</v>
      </c>
      <c r="M98" s="51">
        <v>0.7</v>
      </c>
      <c r="N98" s="51">
        <v>3.62</v>
      </c>
      <c r="O98" s="41">
        <v>1.929</v>
      </c>
    </row>
    <row r="99" spans="1:15">
      <c r="A99" t="s">
        <v>149</v>
      </c>
      <c r="B99" t="str">
        <f t="shared" si="1"/>
        <v>Trial 1</v>
      </c>
      <c r="C99" t="s">
        <v>148</v>
      </c>
      <c r="D99" t="s">
        <v>148</v>
      </c>
      <c r="E99" t="s">
        <v>331</v>
      </c>
      <c r="F99" s="41">
        <v>0.26300000000000001</v>
      </c>
      <c r="G99" s="41">
        <v>1.5249999999999999</v>
      </c>
      <c r="H99" s="41">
        <v>1.8979999999999999</v>
      </c>
      <c r="I99" s="41">
        <v>0.36</v>
      </c>
      <c r="J99" s="51">
        <v>0.05</v>
      </c>
      <c r="K99" s="51">
        <v>0.63</v>
      </c>
      <c r="L99" s="55">
        <v>157.6</v>
      </c>
      <c r="M99" s="51">
        <v>0.21</v>
      </c>
      <c r="N99" s="51">
        <v>3.71</v>
      </c>
      <c r="O99" s="41">
        <v>1.92</v>
      </c>
    </row>
    <row r="100" spans="1:15">
      <c r="A100" t="s">
        <v>150</v>
      </c>
      <c r="B100" t="str">
        <f t="shared" si="1"/>
        <v>Trial 1</v>
      </c>
      <c r="C100" t="s">
        <v>148</v>
      </c>
      <c r="D100" t="s">
        <v>148</v>
      </c>
      <c r="E100" t="s">
        <v>331</v>
      </c>
      <c r="F100" s="41">
        <v>0.26300000000000001</v>
      </c>
      <c r="G100" s="41">
        <v>1.9419999999999999</v>
      </c>
      <c r="H100" s="41">
        <v>2.1230000000000002</v>
      </c>
      <c r="I100" s="41">
        <v>0.32600000000000001</v>
      </c>
      <c r="J100" s="51">
        <v>0</v>
      </c>
      <c r="K100" s="51">
        <v>0.56999999999999995</v>
      </c>
      <c r="L100" s="55">
        <v>188.2</v>
      </c>
      <c r="M100" s="51">
        <v>0</v>
      </c>
      <c r="N100" s="51">
        <v>3.5</v>
      </c>
      <c r="O100" s="41">
        <v>2.0190000000000001</v>
      </c>
    </row>
    <row r="101" spans="1:15">
      <c r="A101" t="s">
        <v>151</v>
      </c>
      <c r="B101" t="str">
        <f t="shared" si="1"/>
        <v>Trial 1</v>
      </c>
      <c r="C101" t="s">
        <v>152</v>
      </c>
      <c r="D101" t="s">
        <v>323</v>
      </c>
      <c r="E101" t="s">
        <v>331</v>
      </c>
      <c r="F101" s="41">
        <v>0.216</v>
      </c>
      <c r="G101" s="41">
        <v>1.5449999999999999</v>
      </c>
      <c r="H101" s="41">
        <v>1.6739999999999999</v>
      </c>
      <c r="I101" s="41">
        <v>0.32600000000000001</v>
      </c>
      <c r="J101" s="51">
        <v>0.01</v>
      </c>
      <c r="K101" s="51">
        <v>0.77</v>
      </c>
      <c r="L101" s="55">
        <v>147.5</v>
      </c>
      <c r="M101" s="51">
        <v>0.88</v>
      </c>
      <c r="N101" s="51">
        <v>3.59</v>
      </c>
      <c r="O101" s="41">
        <v>2.234</v>
      </c>
    </row>
    <row r="102" spans="1:15">
      <c r="A102" t="s">
        <v>153</v>
      </c>
      <c r="B102" t="str">
        <f t="shared" si="1"/>
        <v>Trial 1</v>
      </c>
      <c r="C102" t="s">
        <v>152</v>
      </c>
      <c r="D102" t="s">
        <v>323</v>
      </c>
      <c r="E102" t="s">
        <v>331</v>
      </c>
      <c r="F102" s="41">
        <v>0.24399999999999999</v>
      </c>
      <c r="G102" s="41">
        <v>1.53</v>
      </c>
      <c r="H102" s="41">
        <v>1.8080000000000001</v>
      </c>
      <c r="I102" s="41">
        <v>0.45700000000000002</v>
      </c>
      <c r="J102" s="51">
        <v>0</v>
      </c>
      <c r="K102" s="51">
        <v>0.88</v>
      </c>
      <c r="L102" s="55">
        <v>160</v>
      </c>
      <c r="M102" s="51">
        <v>0.92</v>
      </c>
      <c r="N102" s="51">
        <v>3.71</v>
      </c>
      <c r="O102" s="41">
        <v>2.3740000000000001</v>
      </c>
    </row>
    <row r="103" spans="1:15">
      <c r="A103" t="s">
        <v>154</v>
      </c>
      <c r="B103" t="str">
        <f t="shared" si="1"/>
        <v>Trial 1</v>
      </c>
      <c r="C103" t="s">
        <v>152</v>
      </c>
      <c r="D103" t="s">
        <v>323</v>
      </c>
      <c r="E103" t="s">
        <v>331</v>
      </c>
      <c r="F103" s="41">
        <v>0.25700000000000001</v>
      </c>
      <c r="G103" s="41">
        <v>1.6060000000000001</v>
      </c>
      <c r="H103" s="41">
        <v>1.7350000000000001</v>
      </c>
      <c r="I103" s="41">
        <v>0.40899999999999997</v>
      </c>
      <c r="J103" s="51">
        <v>0</v>
      </c>
      <c r="K103" s="51">
        <v>0.56999999999999995</v>
      </c>
      <c r="L103" s="55">
        <v>109.5</v>
      </c>
      <c r="M103" s="51">
        <v>0</v>
      </c>
      <c r="N103" s="51">
        <v>3.68</v>
      </c>
      <c r="O103" s="41">
        <v>2.347</v>
      </c>
    </row>
    <row r="104" spans="1:15">
      <c r="A104" t="s">
        <v>155</v>
      </c>
      <c r="B104" t="str">
        <f t="shared" si="1"/>
        <v>Trial 1</v>
      </c>
      <c r="C104" t="s">
        <v>156</v>
      </c>
      <c r="D104" t="s">
        <v>156</v>
      </c>
      <c r="E104" t="s">
        <v>331</v>
      </c>
      <c r="F104" s="41">
        <v>0.30599999999999999</v>
      </c>
      <c r="G104" s="41">
        <v>2.2549999999999999</v>
      </c>
      <c r="H104" s="41">
        <v>1.758</v>
      </c>
      <c r="I104" s="41">
        <v>0.47599999999999998</v>
      </c>
      <c r="J104" s="51">
        <v>0.86</v>
      </c>
      <c r="K104" s="51">
        <v>2.31</v>
      </c>
      <c r="L104" s="55">
        <v>114.9</v>
      </c>
      <c r="M104" s="51">
        <v>0</v>
      </c>
      <c r="N104" s="51">
        <v>3.71</v>
      </c>
      <c r="O104" s="41">
        <v>5.085</v>
      </c>
    </row>
    <row r="105" spans="1:15">
      <c r="A105" t="s">
        <v>157</v>
      </c>
      <c r="B105" t="str">
        <f t="shared" si="1"/>
        <v>Trial 1</v>
      </c>
      <c r="C105" t="s">
        <v>156</v>
      </c>
      <c r="D105" t="s">
        <v>156</v>
      </c>
      <c r="E105" t="s">
        <v>331</v>
      </c>
      <c r="F105" s="41">
        <v>0.307</v>
      </c>
      <c r="G105" s="41">
        <v>2.7570000000000001</v>
      </c>
      <c r="H105" s="41">
        <v>1.8440000000000001</v>
      </c>
      <c r="I105" s="41">
        <v>0.499</v>
      </c>
      <c r="J105" s="51">
        <v>1.35</v>
      </c>
      <c r="K105" s="51">
        <v>2.67</v>
      </c>
      <c r="L105" s="55">
        <v>126.4</v>
      </c>
      <c r="M105" s="51">
        <v>0</v>
      </c>
      <c r="N105" s="51">
        <v>3.73</v>
      </c>
      <c r="O105" s="41">
        <v>6.0860000000000003</v>
      </c>
    </row>
    <row r="106" spans="1:15">
      <c r="A106" t="s">
        <v>158</v>
      </c>
      <c r="B106" t="str">
        <f t="shared" si="1"/>
        <v>Trial 1</v>
      </c>
      <c r="C106" t="s">
        <v>156</v>
      </c>
      <c r="D106" t="s">
        <v>156</v>
      </c>
      <c r="E106" t="s">
        <v>331</v>
      </c>
      <c r="F106" s="41">
        <v>0.35099999999999998</v>
      </c>
      <c r="G106" s="41">
        <v>2.93</v>
      </c>
      <c r="H106" s="41">
        <v>1.9410000000000001</v>
      </c>
      <c r="I106" s="41">
        <v>0.58699999999999997</v>
      </c>
      <c r="J106" s="51">
        <v>2.54</v>
      </c>
      <c r="K106" s="51">
        <v>3.9</v>
      </c>
      <c r="L106" s="55">
        <v>150.4</v>
      </c>
      <c r="M106" s="51">
        <v>0</v>
      </c>
      <c r="N106" s="51">
        <v>3.65</v>
      </c>
      <c r="O106" s="41">
        <v>6.4809999999999999</v>
      </c>
    </row>
    <row r="107" spans="1:15">
      <c r="A107" t="s">
        <v>159</v>
      </c>
      <c r="B107" t="str">
        <f t="shared" si="1"/>
        <v>Trial 1</v>
      </c>
      <c r="C107" t="s">
        <v>160</v>
      </c>
      <c r="D107" t="s">
        <v>160</v>
      </c>
      <c r="E107" t="s">
        <v>331</v>
      </c>
      <c r="F107" s="41">
        <v>0.26</v>
      </c>
      <c r="G107" s="41">
        <v>1.5529999999999999</v>
      </c>
      <c r="H107" s="41">
        <v>1.9750000000000001</v>
      </c>
      <c r="I107" s="41">
        <v>0.42799999999999999</v>
      </c>
      <c r="J107" s="51">
        <v>0.06</v>
      </c>
      <c r="K107" s="51">
        <v>0.63</v>
      </c>
      <c r="L107" s="55">
        <v>164.2</v>
      </c>
      <c r="M107" s="51">
        <v>0</v>
      </c>
      <c r="N107" s="51">
        <v>3.66</v>
      </c>
      <c r="O107" s="41">
        <v>2.319</v>
      </c>
    </row>
    <row r="108" spans="1:15">
      <c r="A108" t="s">
        <v>161</v>
      </c>
      <c r="B108" t="str">
        <f t="shared" si="1"/>
        <v>Trial 1</v>
      </c>
      <c r="C108" t="s">
        <v>160</v>
      </c>
      <c r="D108" t="s">
        <v>160</v>
      </c>
      <c r="E108" t="s">
        <v>331</v>
      </c>
      <c r="F108" s="41">
        <v>0.25</v>
      </c>
      <c r="G108" s="41">
        <v>1.57</v>
      </c>
      <c r="H108" s="41">
        <v>1.946</v>
      </c>
      <c r="I108" s="41">
        <v>0.39400000000000002</v>
      </c>
      <c r="J108" s="51">
        <v>0.05</v>
      </c>
      <c r="K108" s="51">
        <v>0.57999999999999996</v>
      </c>
      <c r="L108" s="55">
        <v>158.9</v>
      </c>
      <c r="M108" s="51">
        <v>0</v>
      </c>
      <c r="N108" s="51">
        <v>3.66</v>
      </c>
      <c r="O108" s="41">
        <v>2.4220000000000002</v>
      </c>
    </row>
    <row r="109" spans="1:15">
      <c r="A109" t="s">
        <v>162</v>
      </c>
      <c r="B109" t="str">
        <f t="shared" si="1"/>
        <v>Trial 1</v>
      </c>
      <c r="C109" t="s">
        <v>160</v>
      </c>
      <c r="D109" t="s">
        <v>160</v>
      </c>
      <c r="E109" t="s">
        <v>331</v>
      </c>
      <c r="F109" s="41">
        <v>0.24399999999999999</v>
      </c>
      <c r="G109" s="41">
        <v>1.657</v>
      </c>
      <c r="H109" s="41">
        <v>1.8360000000000001</v>
      </c>
      <c r="I109" s="41">
        <v>0.38900000000000001</v>
      </c>
      <c r="J109" s="51">
        <v>0.05</v>
      </c>
      <c r="K109" s="51">
        <v>0.52</v>
      </c>
      <c r="L109" s="55">
        <v>151.4</v>
      </c>
      <c r="M109" s="51">
        <v>0</v>
      </c>
      <c r="N109" s="51">
        <v>3.57</v>
      </c>
      <c r="O109" s="41">
        <v>2.0670000000000002</v>
      </c>
    </row>
    <row r="110" spans="1:15">
      <c r="A110" t="s">
        <v>163</v>
      </c>
      <c r="B110" t="str">
        <f t="shared" si="1"/>
        <v>Trial 1</v>
      </c>
      <c r="C110" t="s">
        <v>164</v>
      </c>
      <c r="D110" t="s">
        <v>327</v>
      </c>
      <c r="E110" t="s">
        <v>335</v>
      </c>
      <c r="F110" s="41">
        <v>0.39400000000000002</v>
      </c>
      <c r="G110" s="41">
        <v>2.5089999999999999</v>
      </c>
      <c r="H110" s="41">
        <v>2.2669999999999999</v>
      </c>
      <c r="I110" s="41">
        <v>0.24299999999999999</v>
      </c>
      <c r="J110" s="51">
        <v>1.7</v>
      </c>
      <c r="K110" s="51">
        <v>0.69</v>
      </c>
      <c r="L110" s="55">
        <v>187.5</v>
      </c>
      <c r="M110" s="51">
        <v>0.16</v>
      </c>
      <c r="N110" s="51">
        <v>3.31</v>
      </c>
      <c r="O110" s="41">
        <v>3.5859999999999999</v>
      </c>
    </row>
    <row r="111" spans="1:15">
      <c r="A111" t="s">
        <v>165</v>
      </c>
      <c r="B111" t="str">
        <f t="shared" si="1"/>
        <v>Trial 1</v>
      </c>
      <c r="C111" t="s">
        <v>164</v>
      </c>
      <c r="D111" t="s">
        <v>327</v>
      </c>
      <c r="E111" t="s">
        <v>335</v>
      </c>
      <c r="F111" s="41">
        <v>0.36099999999999999</v>
      </c>
      <c r="G111" s="41">
        <v>2.246</v>
      </c>
      <c r="H111" s="41">
        <v>2.1349999999999998</v>
      </c>
      <c r="I111" s="41">
        <v>0.36899999999999999</v>
      </c>
      <c r="J111" s="51">
        <v>0.72</v>
      </c>
      <c r="K111" s="51">
        <v>0.56000000000000005</v>
      </c>
      <c r="L111" s="55">
        <v>158.80000000000001</v>
      </c>
      <c r="M111" s="51">
        <v>0.18</v>
      </c>
      <c r="N111" s="51">
        <v>3.23</v>
      </c>
      <c r="O111" s="41">
        <v>2.8919999999999999</v>
      </c>
    </row>
    <row r="112" spans="1:15">
      <c r="A112" t="s">
        <v>166</v>
      </c>
      <c r="B112" t="str">
        <f t="shared" si="1"/>
        <v>Trial 1</v>
      </c>
      <c r="C112" t="s">
        <v>164</v>
      </c>
      <c r="D112" t="s">
        <v>327</v>
      </c>
      <c r="E112" t="s">
        <v>335</v>
      </c>
      <c r="F112" s="41">
        <v>0.37</v>
      </c>
      <c r="G112" s="41">
        <v>2.5640000000000001</v>
      </c>
      <c r="H112" s="41">
        <v>2.2639999999999998</v>
      </c>
      <c r="I112" s="41">
        <v>0.4</v>
      </c>
      <c r="J112" s="51">
        <v>0.83</v>
      </c>
      <c r="K112" s="51">
        <v>0.52</v>
      </c>
      <c r="L112" s="55">
        <v>135.4</v>
      </c>
      <c r="M112" s="51">
        <v>0.1</v>
      </c>
      <c r="N112" s="51">
        <v>3.24</v>
      </c>
      <c r="O112" s="41">
        <v>3.3580000000000001</v>
      </c>
    </row>
    <row r="113" spans="1:15">
      <c r="A113" t="s">
        <v>167</v>
      </c>
      <c r="B113" t="str">
        <f t="shared" si="1"/>
        <v>Trial 1</v>
      </c>
      <c r="C113" t="s">
        <v>168</v>
      </c>
      <c r="D113" t="s">
        <v>328</v>
      </c>
      <c r="E113" t="s">
        <v>335</v>
      </c>
      <c r="F113" s="41">
        <v>0.33600000000000002</v>
      </c>
      <c r="G113" s="41">
        <v>2.6429999999999998</v>
      </c>
      <c r="H113" s="41">
        <v>2.1459999999999999</v>
      </c>
      <c r="I113" s="41">
        <v>0.313</v>
      </c>
      <c r="J113" s="51">
        <v>1</v>
      </c>
      <c r="K113" s="51">
        <v>0.54</v>
      </c>
      <c r="L113" s="55">
        <v>173</v>
      </c>
      <c r="M113" s="51">
        <v>0</v>
      </c>
      <c r="N113" s="51">
        <v>3.27</v>
      </c>
      <c r="O113" s="41">
        <v>3.7690000000000001</v>
      </c>
    </row>
    <row r="114" spans="1:15">
      <c r="A114" t="s">
        <v>169</v>
      </c>
      <c r="B114" t="str">
        <f t="shared" si="1"/>
        <v>Trial 1</v>
      </c>
      <c r="C114" t="s">
        <v>168</v>
      </c>
      <c r="D114" t="s">
        <v>328</v>
      </c>
      <c r="E114" t="s">
        <v>335</v>
      </c>
      <c r="F114" s="41">
        <v>0.38600000000000001</v>
      </c>
      <c r="G114" s="41">
        <v>2.6269999999999998</v>
      </c>
      <c r="H114" s="41">
        <v>2.3759999999999999</v>
      </c>
      <c r="I114" s="41">
        <v>0.37</v>
      </c>
      <c r="J114" s="51">
        <v>1.26</v>
      </c>
      <c r="K114" s="51">
        <v>0.6</v>
      </c>
      <c r="L114" s="55">
        <v>193.5</v>
      </c>
      <c r="M114" s="51">
        <v>0</v>
      </c>
      <c r="N114" s="51">
        <v>3.42</v>
      </c>
      <c r="O114" s="41">
        <v>3.3479999999999999</v>
      </c>
    </row>
    <row r="115" spans="1:15">
      <c r="A115" t="s">
        <v>170</v>
      </c>
      <c r="B115" t="str">
        <f t="shared" si="1"/>
        <v>Trial 1</v>
      </c>
      <c r="C115" t="s">
        <v>168</v>
      </c>
      <c r="D115" t="s">
        <v>328</v>
      </c>
      <c r="E115" t="s">
        <v>335</v>
      </c>
      <c r="F115" s="41">
        <v>0.36599999999999999</v>
      </c>
      <c r="G115" s="41">
        <v>2.774</v>
      </c>
      <c r="H115" s="41">
        <v>2.2429999999999999</v>
      </c>
      <c r="I115" s="41">
        <v>0.33700000000000002</v>
      </c>
      <c r="J115" s="51">
        <v>1.59</v>
      </c>
      <c r="K115" s="51">
        <v>0.65</v>
      </c>
      <c r="L115" s="55">
        <v>179.4</v>
      </c>
      <c r="M115" s="51">
        <v>0</v>
      </c>
      <c r="N115" s="51">
        <v>3.25</v>
      </c>
      <c r="O115" s="41">
        <v>3.8959999999999999</v>
      </c>
    </row>
    <row r="116" spans="1:15">
      <c r="A116" t="s">
        <v>171</v>
      </c>
      <c r="B116" t="str">
        <f t="shared" si="1"/>
        <v>Trial 1</v>
      </c>
      <c r="C116" t="s">
        <v>172</v>
      </c>
      <c r="D116" t="s">
        <v>329</v>
      </c>
      <c r="E116" t="s">
        <v>335</v>
      </c>
      <c r="F116" s="41">
        <v>0.32700000000000001</v>
      </c>
      <c r="G116" s="41">
        <v>2.1379999999999999</v>
      </c>
      <c r="H116" s="41">
        <v>2.1739999999999999</v>
      </c>
      <c r="I116" s="41">
        <v>0.29399999999999998</v>
      </c>
      <c r="J116" s="51">
        <v>0.78</v>
      </c>
      <c r="K116" s="51">
        <v>0.47</v>
      </c>
      <c r="L116" s="55">
        <v>192.6</v>
      </c>
      <c r="M116" s="51">
        <v>0</v>
      </c>
      <c r="N116" s="51">
        <v>3.31</v>
      </c>
      <c r="O116" s="41">
        <v>3.0960000000000001</v>
      </c>
    </row>
    <row r="117" spans="1:15">
      <c r="A117" t="s">
        <v>173</v>
      </c>
      <c r="B117" t="str">
        <f t="shared" si="1"/>
        <v>Trial 1</v>
      </c>
      <c r="C117" t="s">
        <v>172</v>
      </c>
      <c r="D117" t="s">
        <v>329</v>
      </c>
      <c r="E117" t="s">
        <v>335</v>
      </c>
      <c r="F117" s="41">
        <v>0.32200000000000001</v>
      </c>
      <c r="G117" s="41">
        <v>2.589</v>
      </c>
      <c r="H117" s="41">
        <v>2.238</v>
      </c>
      <c r="I117" s="41">
        <v>0.32800000000000001</v>
      </c>
      <c r="J117" s="51">
        <v>1.25</v>
      </c>
      <c r="K117" s="51">
        <v>0.43</v>
      </c>
      <c r="L117" s="55">
        <v>208</v>
      </c>
      <c r="M117" s="51">
        <v>0.09</v>
      </c>
      <c r="N117" s="51">
        <v>3.38</v>
      </c>
      <c r="O117" s="41">
        <v>3.363</v>
      </c>
    </row>
    <row r="118" spans="1:15">
      <c r="A118" t="s">
        <v>174</v>
      </c>
      <c r="B118" t="str">
        <f t="shared" si="1"/>
        <v>Trial 1</v>
      </c>
      <c r="C118" t="s">
        <v>172</v>
      </c>
      <c r="D118" t="s">
        <v>329</v>
      </c>
      <c r="E118" t="s">
        <v>335</v>
      </c>
      <c r="F118" s="41">
        <v>0.30099999999999999</v>
      </c>
      <c r="G118" s="41">
        <v>2.258</v>
      </c>
      <c r="H118" s="41">
        <v>2.1560000000000001</v>
      </c>
      <c r="I118" s="41">
        <v>0.31</v>
      </c>
      <c r="J118" s="51">
        <v>0.77</v>
      </c>
      <c r="K118" s="51">
        <v>0.38</v>
      </c>
      <c r="L118" s="55">
        <v>189.5</v>
      </c>
      <c r="M118" s="51">
        <v>0.12</v>
      </c>
      <c r="N118" s="51">
        <v>3.31</v>
      </c>
      <c r="O118" s="41">
        <v>3.0419999999999998</v>
      </c>
    </row>
    <row r="119" spans="1:15">
      <c r="A119" t="s">
        <v>175</v>
      </c>
      <c r="B119" t="str">
        <f t="shared" si="1"/>
        <v>Trial 1</v>
      </c>
      <c r="C119" t="s">
        <v>176</v>
      </c>
      <c r="D119" t="s">
        <v>324</v>
      </c>
      <c r="E119" t="s">
        <v>336</v>
      </c>
      <c r="F119" s="41">
        <v>0.23300000000000001</v>
      </c>
      <c r="G119" s="41">
        <v>1.837</v>
      </c>
      <c r="H119" s="41">
        <v>2.343</v>
      </c>
      <c r="I119" s="41">
        <v>0.152</v>
      </c>
      <c r="J119" s="51">
        <v>0</v>
      </c>
      <c r="K119" s="51">
        <v>0.3</v>
      </c>
      <c r="L119" s="55">
        <v>221.4</v>
      </c>
      <c r="M119" s="51">
        <v>0</v>
      </c>
      <c r="N119" s="51">
        <v>3.74</v>
      </c>
      <c r="O119" s="41">
        <v>2.02</v>
      </c>
    </row>
    <row r="120" spans="1:15">
      <c r="A120" t="s">
        <v>177</v>
      </c>
      <c r="B120" t="str">
        <f t="shared" si="1"/>
        <v>Trial 1</v>
      </c>
      <c r="C120" t="s">
        <v>176</v>
      </c>
      <c r="D120" t="s">
        <v>324</v>
      </c>
      <c r="E120" t="s">
        <v>336</v>
      </c>
      <c r="F120" s="41">
        <v>0.23300000000000001</v>
      </c>
      <c r="G120" s="41">
        <v>2.1739999999999999</v>
      </c>
      <c r="H120" s="41">
        <v>2.5550000000000002</v>
      </c>
      <c r="I120" s="41">
        <v>0.28000000000000003</v>
      </c>
      <c r="J120" s="51">
        <v>0</v>
      </c>
      <c r="K120" s="51">
        <v>0.27</v>
      </c>
      <c r="L120" s="55">
        <v>222.2</v>
      </c>
      <c r="M120" s="51">
        <v>0</v>
      </c>
      <c r="N120" s="51">
        <v>3.74</v>
      </c>
      <c r="O120" s="41">
        <v>2.2759999999999998</v>
      </c>
    </row>
    <row r="121" spans="1:15">
      <c r="A121" t="s">
        <v>178</v>
      </c>
      <c r="B121" t="str">
        <f t="shared" si="1"/>
        <v>Trial 1</v>
      </c>
      <c r="C121" t="s">
        <v>176</v>
      </c>
      <c r="D121" t="s">
        <v>324</v>
      </c>
      <c r="E121" t="s">
        <v>336</v>
      </c>
      <c r="F121" s="41">
        <v>0.218</v>
      </c>
      <c r="G121" s="41">
        <v>2.1269999999999998</v>
      </c>
      <c r="H121" s="41">
        <v>2.42</v>
      </c>
      <c r="I121" s="41">
        <v>0.26800000000000002</v>
      </c>
      <c r="J121" s="51">
        <v>0.02</v>
      </c>
      <c r="K121" s="51">
        <v>0.44</v>
      </c>
      <c r="L121" s="55">
        <v>220.1</v>
      </c>
      <c r="M121" s="51">
        <v>0</v>
      </c>
      <c r="N121" s="51">
        <v>3.65</v>
      </c>
      <c r="O121" s="41">
        <v>2.1379999999999999</v>
      </c>
    </row>
    <row r="122" spans="1:15">
      <c r="A122" t="s">
        <v>179</v>
      </c>
      <c r="B122" t="str">
        <f t="shared" si="1"/>
        <v>Trial 1</v>
      </c>
      <c r="C122" t="s">
        <v>180</v>
      </c>
      <c r="D122" t="s">
        <v>325</v>
      </c>
      <c r="E122" t="s">
        <v>336</v>
      </c>
      <c r="F122" s="41">
        <v>0.28299999999999997</v>
      </c>
      <c r="G122" s="41">
        <v>2.3919999999999999</v>
      </c>
      <c r="H122" s="41">
        <v>2.1309999999999998</v>
      </c>
      <c r="I122" s="41">
        <v>0.24099999999999999</v>
      </c>
      <c r="J122" s="51">
        <v>0.67</v>
      </c>
      <c r="K122" s="51">
        <v>0.56000000000000005</v>
      </c>
      <c r="L122" s="55">
        <v>181.1</v>
      </c>
      <c r="M122" s="51">
        <v>0.15</v>
      </c>
      <c r="N122" s="51">
        <v>3.31</v>
      </c>
      <c r="O122" s="41">
        <v>2.835</v>
      </c>
    </row>
    <row r="123" spans="1:15">
      <c r="A123" t="s">
        <v>181</v>
      </c>
      <c r="B123" t="str">
        <f t="shared" si="1"/>
        <v>Trial 1</v>
      </c>
      <c r="C123" t="s">
        <v>180</v>
      </c>
      <c r="D123" t="s">
        <v>325</v>
      </c>
      <c r="E123" t="s">
        <v>336</v>
      </c>
      <c r="F123" s="41">
        <v>0.34699999999999998</v>
      </c>
      <c r="G123" s="41">
        <v>2.6230000000000002</v>
      </c>
      <c r="H123" s="41">
        <v>2.0870000000000002</v>
      </c>
      <c r="I123" s="41">
        <v>0.27200000000000002</v>
      </c>
      <c r="J123" s="51">
        <v>1.01</v>
      </c>
      <c r="K123" s="51">
        <v>0.64</v>
      </c>
      <c r="L123" s="55">
        <v>178.9</v>
      </c>
      <c r="M123" s="51">
        <v>0.19</v>
      </c>
      <c r="N123" s="51">
        <v>3.26</v>
      </c>
      <c r="O123" s="41">
        <v>3.3079999999999998</v>
      </c>
    </row>
    <row r="124" spans="1:15">
      <c r="A124" t="s">
        <v>182</v>
      </c>
      <c r="B124" t="str">
        <f t="shared" si="1"/>
        <v>Trial 1</v>
      </c>
      <c r="C124" t="s">
        <v>180</v>
      </c>
      <c r="D124" t="s">
        <v>325</v>
      </c>
      <c r="E124" t="s">
        <v>336</v>
      </c>
      <c r="F124" s="41">
        <v>0.34899999999999998</v>
      </c>
      <c r="G124" s="41">
        <v>2.6</v>
      </c>
      <c r="H124" s="41">
        <v>2.157</v>
      </c>
      <c r="I124" s="41">
        <v>0.35799999999999998</v>
      </c>
      <c r="J124" s="51">
        <v>0.64</v>
      </c>
      <c r="K124" s="51">
        <v>0.55000000000000004</v>
      </c>
      <c r="L124" s="55">
        <v>180.4</v>
      </c>
      <c r="M124" s="51">
        <v>0.06</v>
      </c>
      <c r="N124" s="51">
        <v>3.24</v>
      </c>
      <c r="O124" s="41">
        <v>3.4289999999999998</v>
      </c>
    </row>
    <row r="125" spans="1:15">
      <c r="A125" t="s">
        <v>183</v>
      </c>
      <c r="B125" t="str">
        <f t="shared" si="1"/>
        <v>Trial 1</v>
      </c>
      <c r="C125" t="s">
        <v>184</v>
      </c>
      <c r="D125" t="s">
        <v>326</v>
      </c>
      <c r="E125" t="s">
        <v>336</v>
      </c>
      <c r="F125" s="41">
        <v>0.30199999999999999</v>
      </c>
      <c r="G125" s="41">
        <v>1.647</v>
      </c>
      <c r="H125" s="41">
        <v>2.4889999999999999</v>
      </c>
      <c r="I125" s="41">
        <v>0.32600000000000001</v>
      </c>
      <c r="J125" s="51">
        <v>0</v>
      </c>
      <c r="K125" s="51">
        <v>0.37</v>
      </c>
      <c r="L125" s="55">
        <v>228.4</v>
      </c>
      <c r="M125" s="51">
        <v>0</v>
      </c>
      <c r="N125" s="51">
        <v>3.77</v>
      </c>
      <c r="O125" s="41">
        <v>1.97</v>
      </c>
    </row>
    <row r="126" spans="1:15">
      <c r="A126" t="s">
        <v>185</v>
      </c>
      <c r="B126" t="str">
        <f t="shared" si="1"/>
        <v>Trial 1</v>
      </c>
      <c r="C126" t="s">
        <v>184</v>
      </c>
      <c r="D126" t="s">
        <v>326</v>
      </c>
      <c r="E126" t="s">
        <v>336</v>
      </c>
      <c r="F126" s="41">
        <v>0.24199999999999999</v>
      </c>
      <c r="G126" s="41">
        <v>1.6539999999999999</v>
      </c>
      <c r="H126" s="41">
        <v>2.5099999999999998</v>
      </c>
      <c r="I126" s="41">
        <v>0.28499999999999998</v>
      </c>
      <c r="J126" s="51">
        <v>0</v>
      </c>
      <c r="K126" s="51">
        <v>0.41</v>
      </c>
      <c r="L126" s="55">
        <v>232.8</v>
      </c>
      <c r="M126" s="51">
        <v>0.08</v>
      </c>
      <c r="N126" s="51">
        <v>3.74</v>
      </c>
      <c r="O126" s="41">
        <v>2.5419999999999998</v>
      </c>
    </row>
    <row r="127" spans="1:15">
      <c r="A127" t="s">
        <v>186</v>
      </c>
      <c r="B127" t="str">
        <f t="shared" si="1"/>
        <v>Trial 1</v>
      </c>
      <c r="C127" t="s">
        <v>184</v>
      </c>
      <c r="D127" t="s">
        <v>326</v>
      </c>
      <c r="E127" t="s">
        <v>336</v>
      </c>
      <c r="F127" s="41">
        <v>0.246</v>
      </c>
      <c r="G127" s="41">
        <v>1.6859999999999999</v>
      </c>
      <c r="H127" s="41">
        <v>2.5790000000000002</v>
      </c>
      <c r="I127" s="41">
        <v>0.23599999999999999</v>
      </c>
      <c r="J127" s="51">
        <v>0.01</v>
      </c>
      <c r="K127" s="51">
        <v>0.36</v>
      </c>
      <c r="L127" s="55">
        <v>237.1</v>
      </c>
      <c r="M127" s="51">
        <v>0</v>
      </c>
      <c r="N127" s="51">
        <v>3.7</v>
      </c>
      <c r="O127" s="41">
        <v>2.0139999999999998</v>
      </c>
    </row>
    <row r="128" spans="1:15">
      <c r="A128" t="s">
        <v>187</v>
      </c>
      <c r="B128" t="s">
        <v>339</v>
      </c>
      <c r="C128" t="s">
        <v>20</v>
      </c>
      <c r="D128" t="s">
        <v>320</v>
      </c>
      <c r="E128" t="s">
        <v>332</v>
      </c>
      <c r="F128" s="41">
        <v>0.58976626687464895</v>
      </c>
      <c r="G128" s="41">
        <v>3.3338091819617288</v>
      </c>
      <c r="H128" s="41">
        <v>3.7567710341831013</v>
      </c>
      <c r="I128" s="41">
        <v>1.4400296552855707</v>
      </c>
      <c r="J128" s="51">
        <v>1.63</v>
      </c>
      <c r="K128" s="51">
        <v>2.34</v>
      </c>
      <c r="L128" s="55">
        <v>127.3</v>
      </c>
      <c r="M128" s="51">
        <v>0.9</v>
      </c>
      <c r="N128" s="51">
        <v>4.8499999999999996</v>
      </c>
      <c r="O128" s="41">
        <v>5.8540000000000001</v>
      </c>
    </row>
    <row r="129" spans="1:15">
      <c r="A129" t="s">
        <v>188</v>
      </c>
      <c r="B129" t="str">
        <f>B128</f>
        <v>Trial 2</v>
      </c>
      <c r="C129" t="s">
        <v>20</v>
      </c>
      <c r="D129" t="s">
        <v>320</v>
      </c>
      <c r="E129" t="s">
        <v>332</v>
      </c>
      <c r="F129" s="41">
        <v>0.58030059351464003</v>
      </c>
      <c r="G129" s="41">
        <v>3.1699343355305696</v>
      </c>
      <c r="H129" s="41">
        <v>3.2796570920958792</v>
      </c>
      <c r="I129" s="41">
        <v>1.1844143605044763</v>
      </c>
      <c r="J129" s="51">
        <v>1.63</v>
      </c>
      <c r="K129" s="51">
        <v>2.0299999999999998</v>
      </c>
      <c r="L129" s="55">
        <v>94.4</v>
      </c>
      <c r="M129" s="51">
        <v>0.74</v>
      </c>
      <c r="N129" s="51">
        <v>4.9000000000000004</v>
      </c>
      <c r="O129" s="41">
        <v>5.5609999999999999</v>
      </c>
    </row>
    <row r="130" spans="1:15">
      <c r="A130" t="s">
        <v>189</v>
      </c>
      <c r="B130" t="str">
        <f t="shared" ref="B130:B193" si="2">B129</f>
        <v>Trial 2</v>
      </c>
      <c r="C130" t="s">
        <v>20</v>
      </c>
      <c r="D130" t="s">
        <v>320</v>
      </c>
      <c r="E130" t="s">
        <v>332</v>
      </c>
      <c r="F130" s="41">
        <v>0.51514916467987948</v>
      </c>
      <c r="G130" s="41">
        <v>2.9347943248758819</v>
      </c>
      <c r="H130" s="41">
        <v>2.9158014512144361</v>
      </c>
      <c r="I130" s="41">
        <v>1.0919178068214876</v>
      </c>
      <c r="J130" s="51">
        <v>1.87</v>
      </c>
      <c r="K130" s="51">
        <v>2.4900000000000002</v>
      </c>
      <c r="L130" s="55">
        <v>94.2</v>
      </c>
      <c r="M130" s="51">
        <v>1.37</v>
      </c>
      <c r="N130" s="51">
        <v>4.28</v>
      </c>
      <c r="O130" s="41">
        <v>5.97</v>
      </c>
    </row>
    <row r="131" spans="1:15">
      <c r="A131" t="s">
        <v>190</v>
      </c>
      <c r="B131" t="str">
        <f t="shared" si="2"/>
        <v>Trial 2</v>
      </c>
      <c r="C131" t="s">
        <v>24</v>
      </c>
      <c r="D131" t="s">
        <v>132</v>
      </c>
      <c r="E131" t="s">
        <v>332</v>
      </c>
      <c r="F131" s="41">
        <v>0.58014007154172953</v>
      </c>
      <c r="G131" s="41">
        <v>2.8017144326250887</v>
      </c>
      <c r="H131" s="41">
        <v>3.295776346960567</v>
      </c>
      <c r="I131" s="41">
        <v>1.4712493660955208</v>
      </c>
      <c r="J131" s="51">
        <v>1.29</v>
      </c>
      <c r="K131" s="51">
        <v>2.63</v>
      </c>
      <c r="L131" s="55">
        <v>106.8</v>
      </c>
      <c r="M131" s="51">
        <v>2.38</v>
      </c>
      <c r="N131" s="51">
        <v>4.79</v>
      </c>
      <c r="O131" s="41">
        <v>5.3419999999999996</v>
      </c>
    </row>
    <row r="132" spans="1:15">
      <c r="A132" t="s">
        <v>191</v>
      </c>
      <c r="B132" t="str">
        <f t="shared" si="2"/>
        <v>Trial 2</v>
      </c>
      <c r="C132" t="s">
        <v>24</v>
      </c>
      <c r="D132" t="s">
        <v>132</v>
      </c>
      <c r="E132" t="s">
        <v>332</v>
      </c>
      <c r="F132" s="41">
        <v>0.7175229728249245</v>
      </c>
      <c r="G132" s="41">
        <v>3.1734924672125331</v>
      </c>
      <c r="H132" s="41">
        <v>3.7905467938304138</v>
      </c>
      <c r="I132" s="41">
        <v>1.7033060459113678</v>
      </c>
      <c r="J132" s="51">
        <v>1.26</v>
      </c>
      <c r="K132" s="51">
        <v>2.85</v>
      </c>
      <c r="L132" s="55">
        <v>123.7</v>
      </c>
      <c r="M132" s="51">
        <v>1.64</v>
      </c>
      <c r="N132" s="51">
        <v>5.03</v>
      </c>
      <c r="O132" s="41">
        <v>5.5179999999999998</v>
      </c>
    </row>
    <row r="133" spans="1:15">
      <c r="A133" t="s">
        <v>192</v>
      </c>
      <c r="B133" t="str">
        <f t="shared" si="2"/>
        <v>Trial 2</v>
      </c>
      <c r="C133" t="s">
        <v>24</v>
      </c>
      <c r="D133" t="s">
        <v>132</v>
      </c>
      <c r="E133" t="s">
        <v>332</v>
      </c>
      <c r="F133" s="41">
        <v>0.71423995694279963</v>
      </c>
      <c r="G133" s="41">
        <v>3.3227641815748088</v>
      </c>
      <c r="H133" s="41">
        <v>3.6157238203386548</v>
      </c>
      <c r="I133" s="41">
        <v>1.723621364269986</v>
      </c>
      <c r="J133" s="51">
        <v>2.2799999999999998</v>
      </c>
      <c r="K133" s="51">
        <v>4.43</v>
      </c>
      <c r="L133" s="55">
        <v>103.7</v>
      </c>
      <c r="M133" s="51">
        <v>1.95</v>
      </c>
      <c r="N133" s="51">
        <v>4.8</v>
      </c>
      <c r="O133" s="41">
        <v>7.5060000000000002</v>
      </c>
    </row>
    <row r="134" spans="1:15">
      <c r="A134" t="s">
        <v>193</v>
      </c>
      <c r="B134" t="str">
        <f t="shared" si="2"/>
        <v>Trial 2</v>
      </c>
      <c r="C134" t="s">
        <v>28</v>
      </c>
      <c r="D134" t="s">
        <v>136</v>
      </c>
      <c r="E134" t="s">
        <v>332</v>
      </c>
      <c r="F134" s="41">
        <v>0.57875087340383158</v>
      </c>
      <c r="G134" s="41">
        <v>4.6164384883645821</v>
      </c>
      <c r="H134" s="41">
        <v>2.7640702971006417</v>
      </c>
      <c r="I134" s="41">
        <v>1.558548596585809</v>
      </c>
      <c r="J134" s="51">
        <v>5.38</v>
      </c>
      <c r="K134" s="51">
        <v>4.59</v>
      </c>
      <c r="L134" s="55">
        <v>68.599999999999994</v>
      </c>
      <c r="M134" s="51">
        <v>1.6</v>
      </c>
      <c r="N134" s="51">
        <v>3.86</v>
      </c>
      <c r="O134" s="41">
        <v>13.981999999999999</v>
      </c>
    </row>
    <row r="135" spans="1:15">
      <c r="A135" t="s">
        <v>194</v>
      </c>
      <c r="B135" t="str">
        <f t="shared" si="2"/>
        <v>Trial 2</v>
      </c>
      <c r="C135" t="s">
        <v>28</v>
      </c>
      <c r="D135" t="s">
        <v>136</v>
      </c>
      <c r="E135" t="s">
        <v>332</v>
      </c>
      <c r="F135" s="41">
        <v>0.58765471985865558</v>
      </c>
      <c r="G135" s="41">
        <v>4.7875139722863</v>
      </c>
      <c r="H135" s="41">
        <v>3.0393735152284096</v>
      </c>
      <c r="I135" s="41">
        <v>1.6323276324443274</v>
      </c>
      <c r="J135" s="51">
        <v>5.4</v>
      </c>
      <c r="K135" s="51">
        <v>4.8099999999999996</v>
      </c>
      <c r="L135" s="55">
        <v>82.6</v>
      </c>
      <c r="M135" s="51">
        <v>1.87</v>
      </c>
      <c r="N135" s="51">
        <v>4.51</v>
      </c>
      <c r="O135" s="41">
        <v>11.554</v>
      </c>
    </row>
    <row r="136" spans="1:15">
      <c r="A136" t="s">
        <v>195</v>
      </c>
      <c r="B136" t="str">
        <f t="shared" si="2"/>
        <v>Trial 2</v>
      </c>
      <c r="C136" t="s">
        <v>28</v>
      </c>
      <c r="D136" t="s">
        <v>136</v>
      </c>
      <c r="E136" t="s">
        <v>332</v>
      </c>
      <c r="F136" s="41">
        <v>0.71871834921893607</v>
      </c>
      <c r="G136" s="41">
        <v>5.3257637607594113</v>
      </c>
      <c r="H136" s="41">
        <v>3.7837961224350636</v>
      </c>
      <c r="I136" s="41">
        <v>2.1890135605232279</v>
      </c>
      <c r="J136" s="51">
        <v>7.23</v>
      </c>
      <c r="K136" s="51">
        <v>5.88</v>
      </c>
      <c r="L136" s="55">
        <v>105.9</v>
      </c>
      <c r="M136" s="51">
        <v>2.19</v>
      </c>
      <c r="N136" s="51">
        <v>4.03</v>
      </c>
      <c r="O136" s="41">
        <v>11.1</v>
      </c>
    </row>
    <row r="137" spans="1:15">
      <c r="A137" t="s">
        <v>196</v>
      </c>
      <c r="B137" t="str">
        <f t="shared" si="2"/>
        <v>Trial 2</v>
      </c>
      <c r="C137" t="s">
        <v>32</v>
      </c>
      <c r="D137" t="s">
        <v>321</v>
      </c>
      <c r="E137" t="s">
        <v>332</v>
      </c>
      <c r="F137" s="41">
        <v>0.37113704745160842</v>
      </c>
      <c r="G137" s="41">
        <v>3.7182876586611546</v>
      </c>
      <c r="H137" s="41">
        <v>2.651669698139151</v>
      </c>
      <c r="I137" s="41">
        <v>2.1073587988975095</v>
      </c>
      <c r="J137" s="51">
        <v>3.68</v>
      </c>
      <c r="K137" s="51">
        <v>3.45</v>
      </c>
      <c r="L137" s="55">
        <v>82.2</v>
      </c>
      <c r="M137" s="51">
        <v>2.35</v>
      </c>
      <c r="N137" s="51">
        <v>4.05</v>
      </c>
      <c r="O137" s="41">
        <v>9.8569999999999993</v>
      </c>
    </row>
    <row r="138" spans="1:15">
      <c r="A138" t="s">
        <v>197</v>
      </c>
      <c r="B138" t="str">
        <f t="shared" si="2"/>
        <v>Trial 2</v>
      </c>
      <c r="C138" t="s">
        <v>32</v>
      </c>
      <c r="D138" t="s">
        <v>321</v>
      </c>
      <c r="E138" t="s">
        <v>332</v>
      </c>
      <c r="F138" s="41">
        <v>0.66435348465956812</v>
      </c>
      <c r="G138" s="41">
        <v>5.3859620300441726</v>
      </c>
      <c r="H138" s="41">
        <v>3.8173297198815623</v>
      </c>
      <c r="I138" s="41">
        <v>1.8823014393319977</v>
      </c>
      <c r="J138" s="51">
        <v>6.88</v>
      </c>
      <c r="K138" s="51">
        <v>5.78</v>
      </c>
      <c r="L138" s="55">
        <v>109.8</v>
      </c>
      <c r="M138" s="51">
        <v>1.98</v>
      </c>
      <c r="N138" s="51">
        <v>3.75</v>
      </c>
      <c r="O138" s="41">
        <v>11.234999999999999</v>
      </c>
    </row>
    <row r="139" spans="1:15">
      <c r="A139" t="s">
        <v>198</v>
      </c>
      <c r="B139" t="str">
        <f t="shared" si="2"/>
        <v>Trial 2</v>
      </c>
      <c r="C139" t="s">
        <v>32</v>
      </c>
      <c r="D139" t="s">
        <v>321</v>
      </c>
      <c r="E139" t="s">
        <v>332</v>
      </c>
      <c r="F139" s="41">
        <v>0.54133644611154874</v>
      </c>
      <c r="G139" s="41">
        <v>4.7182187837155949</v>
      </c>
      <c r="H139" s="41">
        <v>3.3749313828113272</v>
      </c>
      <c r="I139" s="41">
        <v>2.55988810465663</v>
      </c>
      <c r="J139" s="51">
        <v>4.17</v>
      </c>
      <c r="K139" s="51">
        <v>4.2</v>
      </c>
      <c r="L139" s="55">
        <v>93.4</v>
      </c>
      <c r="M139" s="51">
        <v>1.84</v>
      </c>
      <c r="N139" s="51">
        <v>4.38</v>
      </c>
      <c r="O139" s="41">
        <v>8.1630000000000003</v>
      </c>
    </row>
    <row r="140" spans="1:15">
      <c r="A140" t="s">
        <v>199</v>
      </c>
      <c r="B140" t="str">
        <f t="shared" si="2"/>
        <v>Trial 2</v>
      </c>
      <c r="C140" t="s">
        <v>36</v>
      </c>
      <c r="D140" t="s">
        <v>322</v>
      </c>
      <c r="E140" t="s">
        <v>332</v>
      </c>
      <c r="F140" s="41">
        <v>0.39867510420851093</v>
      </c>
      <c r="G140" s="41">
        <v>3.1187956045895739</v>
      </c>
      <c r="H140" s="41">
        <v>2.8377494801902872</v>
      </c>
      <c r="I140" s="41">
        <v>2.0383016213339364</v>
      </c>
      <c r="J140" s="51">
        <v>2.42</v>
      </c>
      <c r="K140" s="51">
        <v>3.22</v>
      </c>
      <c r="L140" s="55">
        <v>91.3</v>
      </c>
      <c r="M140" s="51">
        <v>1.94</v>
      </c>
      <c r="N140" s="51">
        <v>4.07</v>
      </c>
      <c r="O140" s="41">
        <v>6.851</v>
      </c>
    </row>
    <row r="141" spans="1:15">
      <c r="A141" t="s">
        <v>200</v>
      </c>
      <c r="B141" t="str">
        <f t="shared" si="2"/>
        <v>Trial 2</v>
      </c>
      <c r="C141" t="s">
        <v>36</v>
      </c>
      <c r="D141" t="s">
        <v>322</v>
      </c>
      <c r="E141" t="s">
        <v>332</v>
      </c>
      <c r="F141" s="41">
        <v>0.40972977433227425</v>
      </c>
      <c r="G141" s="41">
        <v>3.3396918742337549</v>
      </c>
      <c r="H141" s="41">
        <v>2.5588949053818739</v>
      </c>
      <c r="I141" s="41">
        <v>1.8919210332194902</v>
      </c>
      <c r="J141" s="51">
        <v>2.21</v>
      </c>
      <c r="K141" s="51">
        <v>2.71</v>
      </c>
      <c r="L141" s="55">
        <v>74.8</v>
      </c>
      <c r="M141" s="51">
        <v>1.65</v>
      </c>
      <c r="N141" s="51">
        <v>4.37</v>
      </c>
      <c r="O141" s="41">
        <v>7.0890000000000004</v>
      </c>
    </row>
    <row r="142" spans="1:15">
      <c r="A142" t="s">
        <v>201</v>
      </c>
      <c r="B142" t="str">
        <f t="shared" si="2"/>
        <v>Trial 2</v>
      </c>
      <c r="C142" t="s">
        <v>36</v>
      </c>
      <c r="D142" t="s">
        <v>322</v>
      </c>
      <c r="E142" t="s">
        <v>332</v>
      </c>
      <c r="F142" s="41">
        <v>0.3856975857709517</v>
      </c>
      <c r="G142" s="41">
        <v>3.4568239885241465</v>
      </c>
      <c r="H142" s="41">
        <v>2.4539511953352853</v>
      </c>
      <c r="I142" s="41">
        <v>1.8516883561502178</v>
      </c>
      <c r="J142" s="51">
        <v>3.22</v>
      </c>
      <c r="K142" s="51">
        <v>3.16</v>
      </c>
      <c r="L142" s="55">
        <v>76.900000000000006</v>
      </c>
      <c r="M142" s="51">
        <v>1.54</v>
      </c>
      <c r="N142" s="51">
        <v>4.42</v>
      </c>
      <c r="O142" s="41">
        <v>8.2490000000000006</v>
      </c>
    </row>
    <row r="143" spans="1:15">
      <c r="A143" t="s">
        <v>202</v>
      </c>
      <c r="B143" t="str">
        <f t="shared" si="2"/>
        <v>Trial 2</v>
      </c>
      <c r="C143" t="s">
        <v>40</v>
      </c>
      <c r="D143" t="s">
        <v>148</v>
      </c>
      <c r="E143" t="s">
        <v>332</v>
      </c>
      <c r="F143" s="41">
        <v>0.4077189804694904</v>
      </c>
      <c r="G143" s="41">
        <v>3.0179898838025085</v>
      </c>
      <c r="H143" s="41">
        <v>3.1531598793830988</v>
      </c>
      <c r="I143" s="41">
        <v>1.8419256756477269</v>
      </c>
      <c r="J143" s="51">
        <v>0.4</v>
      </c>
      <c r="K143" s="51">
        <v>1.02</v>
      </c>
      <c r="L143" s="55">
        <v>110.1</v>
      </c>
      <c r="M143" s="51">
        <v>2.57</v>
      </c>
      <c r="N143" s="51">
        <v>5.32</v>
      </c>
      <c r="O143" s="41">
        <v>3.1480000000000001</v>
      </c>
    </row>
    <row r="144" spans="1:15">
      <c r="A144" t="s">
        <v>203</v>
      </c>
      <c r="B144" t="str">
        <f t="shared" si="2"/>
        <v>Trial 2</v>
      </c>
      <c r="C144" t="s">
        <v>40</v>
      </c>
      <c r="D144" t="s">
        <v>148</v>
      </c>
      <c r="E144" t="s">
        <v>332</v>
      </c>
      <c r="F144" s="41">
        <v>0.53702796805141828</v>
      </c>
      <c r="G144" s="41">
        <v>3.5940195225088272</v>
      </c>
      <c r="H144" s="41">
        <v>3.6449827748835784</v>
      </c>
      <c r="I144" s="41">
        <v>2.471351771140835</v>
      </c>
      <c r="J144" s="51">
        <v>0.57999999999999996</v>
      </c>
      <c r="K144" s="51">
        <v>1.58</v>
      </c>
      <c r="L144" s="55">
        <v>123.6</v>
      </c>
      <c r="M144" s="51">
        <v>3.4</v>
      </c>
      <c r="N144" s="51">
        <v>4.78</v>
      </c>
      <c r="O144" s="41">
        <v>4.9950000000000001</v>
      </c>
    </row>
    <row r="145" spans="1:15">
      <c r="A145" t="s">
        <v>204</v>
      </c>
      <c r="B145" t="str">
        <f t="shared" si="2"/>
        <v>Trial 2</v>
      </c>
      <c r="C145" t="s">
        <v>40</v>
      </c>
      <c r="D145" t="s">
        <v>148</v>
      </c>
      <c r="E145" t="s">
        <v>332</v>
      </c>
      <c r="F145" s="41">
        <v>0.48757097742974942</v>
      </c>
      <c r="G145" s="41">
        <v>3.8491620753233975</v>
      </c>
      <c r="H145" s="41">
        <v>3.5295471474581541</v>
      </c>
      <c r="I145" s="41">
        <v>2.6846581424496083</v>
      </c>
      <c r="J145" s="51">
        <v>0.36</v>
      </c>
      <c r="K145" s="51">
        <v>1.42</v>
      </c>
      <c r="L145" s="55">
        <v>127.4</v>
      </c>
      <c r="M145" s="51">
        <v>3.49</v>
      </c>
      <c r="N145" s="51">
        <v>4.63</v>
      </c>
      <c r="O145" s="41">
        <v>4.1619999999999999</v>
      </c>
    </row>
    <row r="146" spans="1:15">
      <c r="A146" t="s">
        <v>205</v>
      </c>
      <c r="B146" t="str">
        <f t="shared" si="2"/>
        <v>Trial 2</v>
      </c>
      <c r="C146" t="s">
        <v>44</v>
      </c>
      <c r="D146" t="s">
        <v>323</v>
      </c>
      <c r="E146" t="s">
        <v>332</v>
      </c>
      <c r="F146" s="41">
        <v>0.21803067738575321</v>
      </c>
      <c r="G146" s="41">
        <v>2.103882197909865</v>
      </c>
      <c r="H146" s="41">
        <v>1.6781157768284594</v>
      </c>
      <c r="I146" s="41">
        <v>2.3658447688920079</v>
      </c>
      <c r="J146" s="51">
        <v>0.28000000000000003</v>
      </c>
      <c r="K146" s="51">
        <v>0.86</v>
      </c>
      <c r="L146" s="55">
        <v>65.400000000000006</v>
      </c>
      <c r="M146" s="51">
        <v>1.58</v>
      </c>
      <c r="N146" s="51">
        <v>5.13</v>
      </c>
      <c r="O146" s="41">
        <v>3.7879999999999998</v>
      </c>
    </row>
    <row r="147" spans="1:15">
      <c r="A147" t="s">
        <v>206</v>
      </c>
      <c r="B147" t="str">
        <f t="shared" si="2"/>
        <v>Trial 2</v>
      </c>
      <c r="C147" t="s">
        <v>44</v>
      </c>
      <c r="D147" t="s">
        <v>323</v>
      </c>
      <c r="E147" t="s">
        <v>332</v>
      </c>
      <c r="F147" s="41">
        <v>0.32215649970698146</v>
      </c>
      <c r="G147" s="41">
        <v>2.4450286864356103</v>
      </c>
      <c r="H147" s="41">
        <v>2.3282594119688209</v>
      </c>
      <c r="I147" s="41">
        <v>1.6171336225141915</v>
      </c>
      <c r="J147" s="51">
        <v>0.65</v>
      </c>
      <c r="K147" s="51">
        <v>1.27</v>
      </c>
      <c r="L147" s="55">
        <v>91.9</v>
      </c>
      <c r="M147" s="51">
        <v>2.13</v>
      </c>
      <c r="N147" s="51">
        <v>5.0199999999999996</v>
      </c>
      <c r="O147" s="41">
        <v>4.5839999999999996</v>
      </c>
    </row>
    <row r="148" spans="1:15">
      <c r="A148" t="s">
        <v>207</v>
      </c>
      <c r="B148" t="str">
        <f t="shared" si="2"/>
        <v>Trial 2</v>
      </c>
      <c r="C148" t="s">
        <v>44</v>
      </c>
      <c r="D148" t="s">
        <v>323</v>
      </c>
      <c r="E148" t="s">
        <v>332</v>
      </c>
      <c r="F148" s="41">
        <v>0.47383183346114854</v>
      </c>
      <c r="G148" s="41">
        <v>3.8147587921958568</v>
      </c>
      <c r="H148" s="41">
        <v>3.3071270333775282</v>
      </c>
      <c r="I148" s="41">
        <v>1.6997825380170337</v>
      </c>
      <c r="J148" s="51">
        <v>1.85</v>
      </c>
      <c r="K148" s="51">
        <v>2.77</v>
      </c>
      <c r="L148" s="55">
        <v>123.6</v>
      </c>
      <c r="M148" s="51">
        <v>2.7</v>
      </c>
      <c r="N148" s="51">
        <v>4.7300000000000004</v>
      </c>
      <c r="O148" s="41">
        <v>5.157</v>
      </c>
    </row>
    <row r="149" spans="1:15">
      <c r="A149" t="s">
        <v>208</v>
      </c>
      <c r="B149" t="str">
        <f t="shared" si="2"/>
        <v>Trial 2</v>
      </c>
      <c r="C149" t="s">
        <v>48</v>
      </c>
      <c r="D149" t="s">
        <v>156</v>
      </c>
      <c r="E149" t="s">
        <v>332</v>
      </c>
      <c r="F149" s="41">
        <v>0.47160331032659825</v>
      </c>
      <c r="G149" s="41">
        <v>4.4777268901678209</v>
      </c>
      <c r="H149" s="41">
        <v>3.4992672712120054</v>
      </c>
      <c r="I149" s="41">
        <v>2.6040720589796584</v>
      </c>
      <c r="J149" s="51">
        <v>4.37</v>
      </c>
      <c r="K149" s="51">
        <v>4.03</v>
      </c>
      <c r="L149" s="55">
        <v>118.7</v>
      </c>
      <c r="M149" s="51">
        <v>1.37</v>
      </c>
      <c r="N149" s="51">
        <v>4.25</v>
      </c>
      <c r="O149" s="41">
        <v>9.5289999999999999</v>
      </c>
    </row>
    <row r="150" spans="1:15">
      <c r="A150" t="s">
        <v>209</v>
      </c>
      <c r="B150" t="str">
        <f t="shared" si="2"/>
        <v>Trial 2</v>
      </c>
      <c r="C150" t="s">
        <v>48</v>
      </c>
      <c r="D150" t="s">
        <v>156</v>
      </c>
      <c r="E150" t="s">
        <v>332</v>
      </c>
      <c r="F150" s="41">
        <v>0.69646556380412805</v>
      </c>
      <c r="G150" s="41">
        <v>5.3502739105326</v>
      </c>
      <c r="H150" s="41">
        <v>3.9287093971418279</v>
      </c>
      <c r="I150" s="41">
        <v>1.7930452012844924</v>
      </c>
      <c r="J150" s="51">
        <v>6.11</v>
      </c>
      <c r="K150" s="51">
        <v>5.39</v>
      </c>
      <c r="L150" s="55">
        <v>111.7</v>
      </c>
      <c r="M150" s="51">
        <v>1.96</v>
      </c>
      <c r="N150" s="51">
        <v>4.16</v>
      </c>
      <c r="O150" s="41">
        <v>12.552</v>
      </c>
    </row>
    <row r="151" spans="1:15">
      <c r="A151" t="s">
        <v>210</v>
      </c>
      <c r="B151" t="str">
        <f t="shared" si="2"/>
        <v>Trial 2</v>
      </c>
      <c r="C151" t="s">
        <v>48</v>
      </c>
      <c r="D151" t="s">
        <v>156</v>
      </c>
      <c r="E151" t="s">
        <v>332</v>
      </c>
      <c r="F151" s="41">
        <v>0.67391393429081692</v>
      </c>
      <c r="G151" s="41">
        <v>4.3496261394152453</v>
      </c>
      <c r="H151" s="41">
        <v>4.7315336329101862</v>
      </c>
      <c r="I151" s="41">
        <v>2.7631992797135396</v>
      </c>
      <c r="J151" s="51">
        <v>6.25</v>
      </c>
      <c r="K151" s="51">
        <v>5.43</v>
      </c>
      <c r="L151" s="55">
        <v>108.4</v>
      </c>
      <c r="M151" s="51">
        <v>1.91</v>
      </c>
      <c r="N151" s="51">
        <v>3.96</v>
      </c>
      <c r="O151" s="41">
        <v>11.897</v>
      </c>
    </row>
    <row r="152" spans="1:15">
      <c r="A152" t="s">
        <v>211</v>
      </c>
      <c r="B152" t="str">
        <f t="shared" si="2"/>
        <v>Trial 2</v>
      </c>
      <c r="C152" t="s">
        <v>52</v>
      </c>
      <c r="D152" t="s">
        <v>160</v>
      </c>
      <c r="E152" t="s">
        <v>332</v>
      </c>
      <c r="F152" s="41">
        <v>0.64218608327290361</v>
      </c>
      <c r="G152" s="41">
        <v>5.3783587464050022</v>
      </c>
      <c r="H152" s="41">
        <v>4.1660944951563952</v>
      </c>
      <c r="I152" s="41">
        <v>3.3355129490242899</v>
      </c>
      <c r="J152" s="51">
        <v>3.42</v>
      </c>
      <c r="K152" s="51">
        <v>4.76</v>
      </c>
      <c r="L152" s="55">
        <v>154</v>
      </c>
      <c r="M152" s="51">
        <v>2.42</v>
      </c>
      <c r="N152" s="51">
        <v>4.51</v>
      </c>
      <c r="O152" s="41">
        <v>6.806</v>
      </c>
    </row>
    <row r="153" spans="1:15">
      <c r="A153" t="s">
        <v>212</v>
      </c>
      <c r="B153" t="str">
        <f t="shared" si="2"/>
        <v>Trial 2</v>
      </c>
      <c r="C153" t="s">
        <v>52</v>
      </c>
      <c r="D153" t="s">
        <v>160</v>
      </c>
      <c r="E153" t="s">
        <v>332</v>
      </c>
      <c r="F153" s="41">
        <v>1.0793967070632242</v>
      </c>
      <c r="G153" s="41">
        <v>8.3163817166582135</v>
      </c>
      <c r="H153" s="41">
        <v>5.5883749745735454</v>
      </c>
      <c r="I153" s="41">
        <v>3.2390949277990035</v>
      </c>
      <c r="J153" s="51">
        <v>7.01</v>
      </c>
      <c r="K153" s="51">
        <v>5.69</v>
      </c>
      <c r="L153" s="55">
        <v>123.3</v>
      </c>
      <c r="M153" s="51">
        <v>2.0299999999999998</v>
      </c>
      <c r="N153" s="51">
        <v>3.9</v>
      </c>
      <c r="O153" s="41">
        <v>7.3070000000000004</v>
      </c>
    </row>
    <row r="154" spans="1:15">
      <c r="A154" t="s">
        <v>213</v>
      </c>
      <c r="B154" t="str">
        <f t="shared" si="2"/>
        <v>Trial 2</v>
      </c>
      <c r="C154" t="s">
        <v>52</v>
      </c>
      <c r="D154" t="s">
        <v>160</v>
      </c>
      <c r="E154" t="s">
        <v>332</v>
      </c>
      <c r="F154" s="41">
        <v>0.41858836725218196</v>
      </c>
      <c r="G154" s="41">
        <v>2.6198759074231708</v>
      </c>
      <c r="H154" s="41">
        <v>3.3388854858806232</v>
      </c>
      <c r="I154" s="41">
        <v>2.2179990334594017</v>
      </c>
      <c r="J154" s="51">
        <v>9.36</v>
      </c>
      <c r="K154" s="51">
        <v>7.8</v>
      </c>
      <c r="L154" s="55">
        <v>171</v>
      </c>
      <c r="M154" s="51">
        <v>1.95</v>
      </c>
      <c r="N154" s="51">
        <v>4.28</v>
      </c>
      <c r="O154" s="41">
        <v>8.907</v>
      </c>
    </row>
    <row r="155" spans="1:15">
      <c r="A155" t="s">
        <v>214</v>
      </c>
      <c r="B155" t="str">
        <f t="shared" si="2"/>
        <v>Trial 2</v>
      </c>
      <c r="C155" t="s">
        <v>56</v>
      </c>
      <c r="D155" t="s">
        <v>320</v>
      </c>
      <c r="E155" t="s">
        <v>333</v>
      </c>
      <c r="F155" s="41">
        <v>0.4627028792329001</v>
      </c>
      <c r="G155" s="41">
        <v>2.965804486480506</v>
      </c>
      <c r="H155" s="41">
        <v>3.3772303235282961</v>
      </c>
      <c r="I155" s="41">
        <v>2.6657871046111294</v>
      </c>
      <c r="J155" s="51">
        <v>0.85</v>
      </c>
      <c r="K155" s="51">
        <v>1.29</v>
      </c>
      <c r="L155" s="55">
        <v>125.1</v>
      </c>
      <c r="M155" s="51">
        <v>1.1599999999999999</v>
      </c>
    </row>
    <row r="156" spans="1:15">
      <c r="A156" t="s">
        <v>215</v>
      </c>
      <c r="B156" t="str">
        <f t="shared" si="2"/>
        <v>Trial 2</v>
      </c>
      <c r="C156" t="s">
        <v>56</v>
      </c>
      <c r="D156" t="s">
        <v>320</v>
      </c>
      <c r="E156" t="s">
        <v>333</v>
      </c>
      <c r="F156" s="41">
        <v>0.59719211580230558</v>
      </c>
      <c r="G156" s="41">
        <v>2.821761297902126</v>
      </c>
      <c r="H156" s="41">
        <v>4.0929775124184173</v>
      </c>
      <c r="I156" s="41">
        <v>2.2273041348910123</v>
      </c>
      <c r="J156" s="51">
        <v>0.76</v>
      </c>
      <c r="K156" s="51">
        <v>1.1200000000000001</v>
      </c>
      <c r="L156" s="55">
        <v>141.19999999999999</v>
      </c>
      <c r="M156" s="51">
        <v>1</v>
      </c>
      <c r="N156" s="51">
        <v>4.2</v>
      </c>
      <c r="O156" s="41">
        <v>3.26</v>
      </c>
    </row>
    <row r="157" spans="1:15">
      <c r="A157" t="s">
        <v>216</v>
      </c>
      <c r="B157" t="str">
        <f t="shared" si="2"/>
        <v>Trial 2</v>
      </c>
      <c r="C157" t="s">
        <v>56</v>
      </c>
      <c r="D157" t="s">
        <v>320</v>
      </c>
      <c r="E157" t="s">
        <v>333</v>
      </c>
      <c r="F157" s="41" t="e">
        <v>#VALUE!</v>
      </c>
      <c r="G157" s="41" t="e">
        <v>#VALUE!</v>
      </c>
      <c r="H157" s="41" t="e">
        <v>#VALUE!</v>
      </c>
      <c r="I157" s="41" t="e">
        <v>#VALUE!</v>
      </c>
      <c r="J157" s="51">
        <v>0.9</v>
      </c>
      <c r="K157" s="51">
        <v>1.45</v>
      </c>
      <c r="L157" s="55">
        <v>154.30000000000001</v>
      </c>
      <c r="M157" s="51">
        <v>1.27</v>
      </c>
      <c r="N157" s="51">
        <v>4.95</v>
      </c>
      <c r="O157" s="41">
        <v>3.702</v>
      </c>
    </row>
    <row r="158" spans="1:15">
      <c r="A158" t="s">
        <v>218</v>
      </c>
      <c r="B158" t="str">
        <f t="shared" si="2"/>
        <v>Trial 2</v>
      </c>
      <c r="C158" t="s">
        <v>60</v>
      </c>
      <c r="D158" t="s">
        <v>132</v>
      </c>
      <c r="E158" t="s">
        <v>333</v>
      </c>
      <c r="F158" s="41">
        <v>0.65979653907753943</v>
      </c>
      <c r="G158" s="41">
        <v>2.5631028004689083</v>
      </c>
      <c r="H158" s="41">
        <v>3.954344453025247</v>
      </c>
      <c r="I158" s="41">
        <v>1.4279820603998252</v>
      </c>
      <c r="J158" s="51">
        <v>0.43</v>
      </c>
      <c r="K158" s="51">
        <v>3.55</v>
      </c>
      <c r="L158" s="55">
        <v>139.30000000000001</v>
      </c>
      <c r="M158" s="51">
        <v>0.97</v>
      </c>
      <c r="N158" s="51">
        <v>4.3600000000000003</v>
      </c>
      <c r="O158" s="41">
        <v>4.9139999999999997</v>
      </c>
    </row>
    <row r="159" spans="1:15">
      <c r="A159" t="s">
        <v>219</v>
      </c>
      <c r="B159" t="str">
        <f t="shared" si="2"/>
        <v>Trial 2</v>
      </c>
      <c r="C159" t="s">
        <v>60</v>
      </c>
      <c r="D159" t="s">
        <v>132</v>
      </c>
      <c r="E159" t="s">
        <v>333</v>
      </c>
      <c r="F159" s="41">
        <v>0.48399680201165463</v>
      </c>
      <c r="G159" s="41">
        <v>2.5991460389311798</v>
      </c>
      <c r="H159" s="41">
        <v>3.1654482775820627</v>
      </c>
      <c r="I159" s="41">
        <v>1.5292903647897946</v>
      </c>
      <c r="J159" s="51">
        <v>0.9</v>
      </c>
      <c r="K159" s="51">
        <v>3.68</v>
      </c>
      <c r="L159" s="55">
        <v>115.4</v>
      </c>
      <c r="M159" s="51">
        <v>0.65</v>
      </c>
      <c r="N159" s="51">
        <v>4.18</v>
      </c>
      <c r="O159" s="41">
        <v>3.9609999999999999</v>
      </c>
    </row>
    <row r="160" spans="1:15">
      <c r="A160" t="s">
        <v>220</v>
      </c>
      <c r="B160" t="str">
        <f t="shared" si="2"/>
        <v>Trial 2</v>
      </c>
      <c r="C160" t="s">
        <v>60</v>
      </c>
      <c r="D160" t="s">
        <v>132</v>
      </c>
      <c r="E160" t="s">
        <v>333</v>
      </c>
      <c r="F160" s="41">
        <v>0.53241039980940752</v>
      </c>
      <c r="G160" s="41">
        <v>2.6501672869110422</v>
      </c>
      <c r="H160" s="41">
        <v>3.1749022045582942</v>
      </c>
      <c r="I160" s="41">
        <v>1.1441936073197871</v>
      </c>
      <c r="J160" s="51">
        <v>0.32</v>
      </c>
      <c r="K160" s="51">
        <v>2.99</v>
      </c>
      <c r="L160" s="55">
        <v>115.9</v>
      </c>
      <c r="M160" s="51">
        <v>0.82</v>
      </c>
      <c r="N160" s="51">
        <v>5.18</v>
      </c>
      <c r="O160" s="41">
        <v>3.722</v>
      </c>
    </row>
    <row r="161" spans="1:15">
      <c r="A161" t="s">
        <v>221</v>
      </c>
      <c r="B161" t="str">
        <f t="shared" si="2"/>
        <v>Trial 2</v>
      </c>
      <c r="C161" t="s">
        <v>64</v>
      </c>
      <c r="D161" t="s">
        <v>136</v>
      </c>
      <c r="E161" t="s">
        <v>333</v>
      </c>
      <c r="F161" s="41">
        <v>0.88354709250863839</v>
      </c>
      <c r="G161" s="41">
        <v>5.130291871931421</v>
      </c>
      <c r="H161" s="41">
        <v>4.2691915850725559</v>
      </c>
      <c r="I161" s="41">
        <v>2.2845447428326398</v>
      </c>
      <c r="J161" s="51">
        <v>6.65</v>
      </c>
      <c r="K161" s="51">
        <v>7.49</v>
      </c>
      <c r="L161" s="55">
        <v>117.3</v>
      </c>
      <c r="M161" s="51">
        <v>1.4</v>
      </c>
      <c r="N161" s="51">
        <v>4.2699999999999996</v>
      </c>
      <c r="O161" s="41">
        <v>11.186</v>
      </c>
    </row>
    <row r="162" spans="1:15">
      <c r="A162" t="s">
        <v>222</v>
      </c>
      <c r="B162" t="str">
        <f t="shared" si="2"/>
        <v>Trial 2</v>
      </c>
      <c r="C162" t="s">
        <v>64</v>
      </c>
      <c r="D162" t="s">
        <v>136</v>
      </c>
      <c r="E162" t="s">
        <v>333</v>
      </c>
      <c r="F162" s="41">
        <v>0.59051081560006191</v>
      </c>
      <c r="G162" s="41">
        <v>3.4538981287784649</v>
      </c>
      <c r="H162" s="41">
        <v>3.1984260754399116</v>
      </c>
      <c r="I162" s="41">
        <v>1.604150002688665</v>
      </c>
      <c r="J162" s="51">
        <v>1.22</v>
      </c>
      <c r="K162" s="51">
        <v>3.86</v>
      </c>
      <c r="L162" s="55">
        <v>90.2</v>
      </c>
      <c r="M162" s="51">
        <v>0.49</v>
      </c>
      <c r="N162" s="51">
        <v>4.29</v>
      </c>
      <c r="O162" s="41">
        <v>4.4829999999999997</v>
      </c>
    </row>
    <row r="163" spans="1:15">
      <c r="A163" t="s">
        <v>223</v>
      </c>
      <c r="B163" t="str">
        <f t="shared" si="2"/>
        <v>Trial 2</v>
      </c>
      <c r="C163" t="s">
        <v>64</v>
      </c>
      <c r="D163" t="s">
        <v>136</v>
      </c>
      <c r="E163" t="s">
        <v>333</v>
      </c>
      <c r="F163" s="41">
        <v>0.37614055150082859</v>
      </c>
      <c r="G163" s="41">
        <v>2.7101727773368522</v>
      </c>
      <c r="H163" s="41">
        <v>2.2124056013596141</v>
      </c>
      <c r="I163" s="41">
        <v>1.2760345086706</v>
      </c>
      <c r="J163" s="51">
        <v>2.23</v>
      </c>
      <c r="K163" s="51">
        <v>4.57</v>
      </c>
      <c r="L163" s="55">
        <v>60.5</v>
      </c>
      <c r="M163" s="51">
        <v>0.66</v>
      </c>
      <c r="N163" s="51">
        <v>4.0199999999999996</v>
      </c>
      <c r="O163" s="41">
        <v>7.6369999999999996</v>
      </c>
    </row>
    <row r="164" spans="1:15">
      <c r="A164" t="s">
        <v>224</v>
      </c>
      <c r="B164" t="str">
        <f t="shared" si="2"/>
        <v>Trial 2</v>
      </c>
      <c r="C164" t="s">
        <v>68</v>
      </c>
      <c r="D164" t="s">
        <v>321</v>
      </c>
      <c r="E164" t="s">
        <v>333</v>
      </c>
      <c r="F164" s="41">
        <v>0.45816557197734453</v>
      </c>
      <c r="G164" s="41">
        <v>2.5836991655959749</v>
      </c>
      <c r="H164" s="41">
        <v>2.7538536125315405</v>
      </c>
      <c r="I164" s="41">
        <v>1.5370841138504852</v>
      </c>
      <c r="J164" s="51">
        <v>1.05</v>
      </c>
      <c r="K164" s="51">
        <v>4.1900000000000004</v>
      </c>
      <c r="L164" s="55">
        <v>93</v>
      </c>
      <c r="M164" s="51">
        <v>0.91</v>
      </c>
      <c r="N164" s="51">
        <v>4.21</v>
      </c>
      <c r="O164" s="41">
        <v>5.6280000000000001</v>
      </c>
    </row>
    <row r="165" spans="1:15">
      <c r="A165" t="s">
        <v>225</v>
      </c>
      <c r="B165" t="str">
        <f t="shared" si="2"/>
        <v>Trial 2</v>
      </c>
      <c r="C165" t="s">
        <v>68</v>
      </c>
      <c r="D165" t="s">
        <v>321</v>
      </c>
      <c r="E165" t="s">
        <v>333</v>
      </c>
      <c r="F165" s="41">
        <v>0.37761513366687011</v>
      </c>
      <c r="G165" s="41">
        <v>2.8109806341777568</v>
      </c>
      <c r="H165" s="41">
        <v>2.2643467264494088</v>
      </c>
      <c r="I165" s="41">
        <v>1.2417250212680295</v>
      </c>
      <c r="J165" s="51">
        <v>1.96</v>
      </c>
      <c r="K165" s="51">
        <v>4.29</v>
      </c>
      <c r="L165" s="55">
        <v>76.400000000000006</v>
      </c>
      <c r="M165" s="51">
        <v>0.95</v>
      </c>
      <c r="N165" s="51">
        <v>3.85</v>
      </c>
      <c r="O165" s="41">
        <v>7.7480000000000002</v>
      </c>
    </row>
    <row r="166" spans="1:15">
      <c r="A166" t="s">
        <v>226</v>
      </c>
      <c r="B166" t="str">
        <f t="shared" si="2"/>
        <v>Trial 2</v>
      </c>
      <c r="C166" t="s">
        <v>68</v>
      </c>
      <c r="D166" t="s">
        <v>321</v>
      </c>
      <c r="E166" t="s">
        <v>333</v>
      </c>
      <c r="F166" s="41">
        <v>0.46975474611728735</v>
      </c>
      <c r="G166" s="41">
        <v>2.9579443423672207</v>
      </c>
      <c r="H166" s="41">
        <v>2.7256091789248242</v>
      </c>
      <c r="I166" s="41">
        <v>1.2898557813880958</v>
      </c>
      <c r="J166" s="51">
        <v>2.02</v>
      </c>
      <c r="K166" s="51">
        <v>4.54</v>
      </c>
      <c r="L166" s="55">
        <v>99.4</v>
      </c>
      <c r="M166" s="51">
        <v>1.46</v>
      </c>
      <c r="N166" s="51">
        <v>4.1500000000000004</v>
      </c>
      <c r="O166" s="41">
        <v>6.5110000000000001</v>
      </c>
    </row>
    <row r="167" spans="1:15">
      <c r="A167" t="s">
        <v>227</v>
      </c>
      <c r="B167" t="str">
        <f t="shared" si="2"/>
        <v>Trial 2</v>
      </c>
      <c r="C167" t="s">
        <v>72</v>
      </c>
      <c r="D167" t="s">
        <v>322</v>
      </c>
      <c r="E167" t="s">
        <v>333</v>
      </c>
      <c r="F167" s="41">
        <v>0.48269725710330774</v>
      </c>
      <c r="G167" s="41">
        <v>2.6624148856092003</v>
      </c>
      <c r="H167" s="41">
        <v>3.2343290219965675</v>
      </c>
      <c r="I167" s="41">
        <v>1.2009274501666283</v>
      </c>
      <c r="J167" s="51">
        <v>0.85</v>
      </c>
      <c r="K167" s="51">
        <v>3.8</v>
      </c>
      <c r="L167" s="55">
        <v>123.9</v>
      </c>
      <c r="M167" s="51">
        <v>1.48</v>
      </c>
      <c r="N167" s="51">
        <v>4.26</v>
      </c>
      <c r="O167" s="41">
        <v>4.3819999999999997</v>
      </c>
    </row>
    <row r="168" spans="1:15">
      <c r="A168" t="s">
        <v>228</v>
      </c>
      <c r="B168" t="str">
        <f t="shared" si="2"/>
        <v>Trial 2</v>
      </c>
      <c r="C168" t="s">
        <v>72</v>
      </c>
      <c r="D168" t="s">
        <v>322</v>
      </c>
      <c r="E168" t="s">
        <v>333</v>
      </c>
      <c r="F168" s="41">
        <v>0.45575518086284816</v>
      </c>
      <c r="G168" s="41">
        <v>2.7928626255171456</v>
      </c>
      <c r="H168" s="41">
        <v>2.9743353622118267</v>
      </c>
      <c r="I168" s="41">
        <v>1.2141063236022043</v>
      </c>
      <c r="J168" s="51">
        <v>1.7</v>
      </c>
      <c r="K168" s="51">
        <v>4.3899999999999997</v>
      </c>
      <c r="L168" s="55">
        <v>97</v>
      </c>
      <c r="M168" s="51">
        <v>1.66</v>
      </c>
      <c r="N168" s="51">
        <v>4.09</v>
      </c>
      <c r="O168" s="41">
        <v>5.9349999999999996</v>
      </c>
    </row>
    <row r="169" spans="1:15">
      <c r="A169" t="s">
        <v>229</v>
      </c>
      <c r="B169" t="str">
        <f t="shared" si="2"/>
        <v>Trial 2</v>
      </c>
      <c r="C169" t="s">
        <v>72</v>
      </c>
      <c r="D169" t="s">
        <v>322</v>
      </c>
      <c r="E169" t="s">
        <v>333</v>
      </c>
      <c r="F169" s="41">
        <v>0.55112572493822265</v>
      </c>
      <c r="G169" s="41">
        <v>2.780632115249698</v>
      </c>
      <c r="H169" s="41">
        <v>3.194078890557476</v>
      </c>
      <c r="I169" s="41">
        <v>1.6126099988004416</v>
      </c>
      <c r="J169" s="51">
        <v>1.36</v>
      </c>
      <c r="K169" s="51">
        <v>4.13</v>
      </c>
      <c r="L169" s="55">
        <v>103.5</v>
      </c>
      <c r="M169" s="51">
        <v>1.98</v>
      </c>
      <c r="N169" s="51">
        <v>4.07</v>
      </c>
      <c r="O169" s="41">
        <v>4.4859999999999998</v>
      </c>
    </row>
    <row r="170" spans="1:15">
      <c r="A170" t="s">
        <v>230</v>
      </c>
      <c r="B170" t="str">
        <f t="shared" si="2"/>
        <v>Trial 2</v>
      </c>
      <c r="C170" t="s">
        <v>76</v>
      </c>
      <c r="D170" t="s">
        <v>148</v>
      </c>
      <c r="E170" t="s">
        <v>333</v>
      </c>
      <c r="F170" s="41">
        <v>0.56071349745847743</v>
      </c>
      <c r="G170" s="41">
        <v>3.3057403664931178</v>
      </c>
      <c r="H170" s="41">
        <v>3.8517658249134703</v>
      </c>
      <c r="I170" s="41">
        <v>1.783142415138149</v>
      </c>
      <c r="J170" s="51">
        <v>0.19</v>
      </c>
      <c r="K170" s="51">
        <v>2.92</v>
      </c>
      <c r="L170" s="55">
        <v>136.9</v>
      </c>
      <c r="M170" s="51">
        <v>2.34</v>
      </c>
      <c r="N170" s="51">
        <v>4.29</v>
      </c>
      <c r="O170" s="41">
        <v>2.35</v>
      </c>
    </row>
    <row r="171" spans="1:15">
      <c r="A171" t="s">
        <v>231</v>
      </c>
      <c r="B171" t="str">
        <f t="shared" si="2"/>
        <v>Trial 2</v>
      </c>
      <c r="C171" t="s">
        <v>76</v>
      </c>
      <c r="D171" t="s">
        <v>148</v>
      </c>
      <c r="E171" t="s">
        <v>333</v>
      </c>
      <c r="F171" s="41">
        <v>0.48823611900898878</v>
      </c>
      <c r="G171" s="41">
        <v>2.5331158086530645</v>
      </c>
      <c r="H171" s="41">
        <v>3.6358339509444946</v>
      </c>
      <c r="I171" s="41">
        <v>1.9261723916847173</v>
      </c>
      <c r="J171" s="51">
        <v>0.4</v>
      </c>
      <c r="K171" s="51">
        <v>3.04</v>
      </c>
      <c r="L171" s="55">
        <v>128.6</v>
      </c>
      <c r="M171" s="51">
        <v>1.58</v>
      </c>
      <c r="N171" s="51">
        <v>4.42</v>
      </c>
      <c r="O171" s="41">
        <v>2.6429999999999998</v>
      </c>
    </row>
    <row r="172" spans="1:15">
      <c r="A172" t="s">
        <v>232</v>
      </c>
      <c r="B172" t="str">
        <f t="shared" si="2"/>
        <v>Trial 2</v>
      </c>
      <c r="C172" t="s">
        <v>76</v>
      </c>
      <c r="D172" t="s">
        <v>148</v>
      </c>
      <c r="E172" t="s">
        <v>333</v>
      </c>
      <c r="F172" s="41">
        <v>0.61403496919392953</v>
      </c>
      <c r="G172" s="41">
        <v>3.0826824103640815</v>
      </c>
      <c r="H172" s="41">
        <v>4.1960233962304399</v>
      </c>
      <c r="I172" s="41">
        <v>1.9432667707203002</v>
      </c>
      <c r="J172" s="51">
        <v>0.43</v>
      </c>
      <c r="K172" s="51">
        <v>3.27</v>
      </c>
      <c r="L172" s="55">
        <v>144.19999999999999</v>
      </c>
      <c r="M172" s="51">
        <v>1.7</v>
      </c>
      <c r="N172" s="51">
        <v>4.43</v>
      </c>
      <c r="O172" s="41">
        <v>2.8130000000000002</v>
      </c>
    </row>
    <row r="173" spans="1:15">
      <c r="A173" t="s">
        <v>233</v>
      </c>
      <c r="B173" t="str">
        <f t="shared" si="2"/>
        <v>Trial 2</v>
      </c>
      <c r="C173" t="s">
        <v>80</v>
      </c>
      <c r="D173" t="s">
        <v>323</v>
      </c>
      <c r="E173" t="s">
        <v>333</v>
      </c>
      <c r="F173" s="41">
        <v>0.41896491081629567</v>
      </c>
      <c r="G173" s="41">
        <v>2.1107159681536118</v>
      </c>
      <c r="H173" s="41">
        <v>2.7275934154601202</v>
      </c>
      <c r="I173" s="41">
        <v>1.8255094675478134</v>
      </c>
      <c r="J173" s="51">
        <v>0.15</v>
      </c>
      <c r="K173" s="51">
        <v>3.13</v>
      </c>
      <c r="L173" s="55">
        <v>91.9</v>
      </c>
      <c r="M173" s="51">
        <v>2.16</v>
      </c>
      <c r="N173" s="51">
        <v>4.2</v>
      </c>
      <c r="O173" s="41">
        <v>2.823</v>
      </c>
    </row>
    <row r="174" spans="1:15">
      <c r="A174" t="s">
        <v>234</v>
      </c>
      <c r="B174" t="str">
        <f t="shared" si="2"/>
        <v>Trial 2</v>
      </c>
      <c r="C174" t="s">
        <v>80</v>
      </c>
      <c r="D174" t="s">
        <v>323</v>
      </c>
      <c r="E174" t="s">
        <v>333</v>
      </c>
      <c r="F174" s="41">
        <v>0.47986506888978159</v>
      </c>
      <c r="G174" s="41">
        <v>2.1291073917055878</v>
      </c>
      <c r="H174" s="41">
        <v>3.2520783378429394</v>
      </c>
      <c r="I174" s="41">
        <v>1.8625867866592578</v>
      </c>
      <c r="J174" s="51">
        <v>0.37</v>
      </c>
      <c r="K174" s="51">
        <v>3.27</v>
      </c>
      <c r="L174" s="55">
        <v>114.7</v>
      </c>
      <c r="M174" s="51">
        <v>2.39</v>
      </c>
      <c r="N174" s="51">
        <v>4.6399999999999997</v>
      </c>
      <c r="O174" s="41">
        <v>2.6309999999999998</v>
      </c>
    </row>
    <row r="175" spans="1:15">
      <c r="A175" t="s">
        <v>235</v>
      </c>
      <c r="B175" t="str">
        <f t="shared" si="2"/>
        <v>Trial 2</v>
      </c>
      <c r="C175" t="s">
        <v>80</v>
      </c>
      <c r="D175" t="s">
        <v>323</v>
      </c>
      <c r="E175" t="s">
        <v>333</v>
      </c>
      <c r="F175" s="41">
        <v>0.48452703682642695</v>
      </c>
      <c r="G175" s="41">
        <v>2.1772188003435593</v>
      </c>
      <c r="H175" s="41">
        <v>3.1346435387685134</v>
      </c>
      <c r="I175" s="41">
        <v>2.088365541242053</v>
      </c>
      <c r="J175" s="51">
        <v>0.5</v>
      </c>
      <c r="K175" s="51">
        <v>3.4</v>
      </c>
      <c r="L175" s="55">
        <v>104.2</v>
      </c>
      <c r="M175" s="51">
        <v>2.4500000000000002</v>
      </c>
      <c r="N175" s="51">
        <v>5.3</v>
      </c>
      <c r="O175" s="41">
        <v>3.3370000000000002</v>
      </c>
    </row>
    <row r="176" spans="1:15">
      <c r="A176" t="s">
        <v>236</v>
      </c>
      <c r="B176" t="str">
        <f t="shared" si="2"/>
        <v>Trial 2</v>
      </c>
      <c r="C176" t="s">
        <v>84</v>
      </c>
      <c r="D176" t="s">
        <v>156</v>
      </c>
      <c r="E176" t="s">
        <v>333</v>
      </c>
      <c r="F176" s="41">
        <v>0.55014039325344455</v>
      </c>
      <c r="G176" s="41">
        <v>2.5592317368995623</v>
      </c>
      <c r="H176" s="41">
        <v>3.349782784917207</v>
      </c>
      <c r="I176" s="41">
        <v>2.3116805231728454</v>
      </c>
      <c r="J176" s="51">
        <v>0.89</v>
      </c>
      <c r="K176" s="51">
        <v>3.63</v>
      </c>
      <c r="L176" s="55">
        <v>115.9</v>
      </c>
      <c r="M176" s="51">
        <v>2.25</v>
      </c>
      <c r="N176" s="51">
        <v>4.78</v>
      </c>
      <c r="O176" s="41">
        <v>3.7440000000000002</v>
      </c>
    </row>
    <row r="177" spans="1:15">
      <c r="A177" t="s">
        <v>237</v>
      </c>
      <c r="B177" t="str">
        <f t="shared" si="2"/>
        <v>Trial 2</v>
      </c>
      <c r="C177" t="s">
        <v>84</v>
      </c>
      <c r="D177" t="s">
        <v>156</v>
      </c>
      <c r="E177" t="s">
        <v>333</v>
      </c>
      <c r="F177" s="41">
        <v>0.63704084173696507</v>
      </c>
      <c r="G177" s="41">
        <v>2.7603374677273598</v>
      </c>
      <c r="H177" s="41">
        <v>4.0556471957089508</v>
      </c>
      <c r="I177" s="41">
        <v>2.6247778845583762</v>
      </c>
      <c r="J177" s="51">
        <v>1.1599999999999999</v>
      </c>
      <c r="K177" s="51">
        <v>3.52</v>
      </c>
      <c r="L177" s="55">
        <v>163.1</v>
      </c>
      <c r="M177" s="51">
        <v>1.76</v>
      </c>
      <c r="N177" s="51">
        <v>4.53</v>
      </c>
      <c r="O177" s="41">
        <v>3.2890000000000001</v>
      </c>
    </row>
    <row r="178" spans="1:15">
      <c r="A178" t="s">
        <v>238</v>
      </c>
      <c r="B178" t="str">
        <f t="shared" si="2"/>
        <v>Trial 2</v>
      </c>
      <c r="C178" t="s">
        <v>84</v>
      </c>
      <c r="D178" t="s">
        <v>156</v>
      </c>
      <c r="E178" t="s">
        <v>333</v>
      </c>
      <c r="F178" s="41">
        <v>0.60862076796933817</v>
      </c>
      <c r="G178" s="41">
        <v>2.3579129347013454</v>
      </c>
      <c r="H178" s="41">
        <v>3.7161453913136744</v>
      </c>
      <c r="I178" s="41">
        <v>1.9826096279025518</v>
      </c>
      <c r="J178" s="51">
        <v>1.1200000000000001</v>
      </c>
      <c r="K178" s="51">
        <v>3.43</v>
      </c>
      <c r="L178" s="55">
        <v>132.6</v>
      </c>
      <c r="M178" s="51">
        <v>2.16</v>
      </c>
      <c r="N178" s="51">
        <v>4.16</v>
      </c>
      <c r="O178" s="41">
        <v>3.347</v>
      </c>
    </row>
    <row r="179" spans="1:15">
      <c r="A179" t="s">
        <v>239</v>
      </c>
      <c r="B179" t="str">
        <f t="shared" si="2"/>
        <v>Trial 2</v>
      </c>
      <c r="C179" t="s">
        <v>88</v>
      </c>
      <c r="D179" t="s">
        <v>160</v>
      </c>
      <c r="E179" t="s">
        <v>333</v>
      </c>
      <c r="F179" s="41">
        <v>0.32190034762255043</v>
      </c>
      <c r="G179" s="41">
        <v>2.2475734716183036</v>
      </c>
      <c r="H179" s="41">
        <v>2.6592759381911182</v>
      </c>
      <c r="I179" s="41">
        <v>2.2275366506403849</v>
      </c>
      <c r="J179" s="51">
        <v>0.47</v>
      </c>
      <c r="K179" s="51">
        <v>3.08</v>
      </c>
      <c r="L179" s="55">
        <v>103.7</v>
      </c>
      <c r="M179" s="51">
        <v>1.62</v>
      </c>
      <c r="N179" s="51">
        <v>4.51</v>
      </c>
      <c r="O179" s="41">
        <v>2.9980000000000002</v>
      </c>
    </row>
    <row r="180" spans="1:15">
      <c r="A180" t="s">
        <v>240</v>
      </c>
      <c r="B180" t="str">
        <f t="shared" si="2"/>
        <v>Trial 2</v>
      </c>
      <c r="C180" t="s">
        <v>88</v>
      </c>
      <c r="D180" t="s">
        <v>160</v>
      </c>
      <c r="E180" t="s">
        <v>333</v>
      </c>
      <c r="F180" s="41">
        <v>0.30329858325116643</v>
      </c>
      <c r="G180" s="41">
        <v>2.2938259794030689</v>
      </c>
      <c r="H180" s="41">
        <v>2.5187098483667887</v>
      </c>
      <c r="I180" s="41">
        <v>1.9807345970518444</v>
      </c>
      <c r="J180" s="51">
        <v>0.44</v>
      </c>
      <c r="K180" s="51">
        <v>3.24</v>
      </c>
      <c r="L180" s="55">
        <v>97</v>
      </c>
      <c r="M180" s="51">
        <v>1.58</v>
      </c>
      <c r="N180" s="51">
        <v>4.3600000000000003</v>
      </c>
      <c r="O180" s="41">
        <v>2.9620000000000002</v>
      </c>
    </row>
    <row r="181" spans="1:15">
      <c r="A181" t="s">
        <v>241</v>
      </c>
      <c r="B181" t="str">
        <f t="shared" si="2"/>
        <v>Trial 2</v>
      </c>
      <c r="C181" t="s">
        <v>88</v>
      </c>
      <c r="D181" t="s">
        <v>160</v>
      </c>
      <c r="E181" t="s">
        <v>333</v>
      </c>
      <c r="F181" s="41">
        <v>0.35422503299718805</v>
      </c>
      <c r="G181" s="41">
        <v>2.0646941541834356</v>
      </c>
      <c r="H181" s="41">
        <v>2.8107382602581956</v>
      </c>
      <c r="I181" s="41">
        <v>1.9828019005414557</v>
      </c>
      <c r="J181" s="51">
        <v>0.35</v>
      </c>
      <c r="K181" s="51">
        <v>3.41</v>
      </c>
      <c r="L181" s="55">
        <v>99.1</v>
      </c>
      <c r="M181" s="51">
        <v>1.22</v>
      </c>
      <c r="N181" s="51">
        <v>4.8499999999999996</v>
      </c>
      <c r="O181" s="41">
        <v>3.1070000000000002</v>
      </c>
    </row>
    <row r="182" spans="1:15">
      <c r="A182" t="s">
        <v>242</v>
      </c>
      <c r="B182" t="str">
        <f t="shared" si="2"/>
        <v>Trial 2</v>
      </c>
      <c r="C182" t="s">
        <v>92</v>
      </c>
      <c r="D182" t="s">
        <v>320</v>
      </c>
      <c r="E182" t="s">
        <v>334</v>
      </c>
      <c r="F182" s="41">
        <v>0.51177308020707801</v>
      </c>
      <c r="G182" s="41">
        <v>3.0421491867326749</v>
      </c>
      <c r="H182" s="41">
        <v>3.7652499115930644</v>
      </c>
      <c r="I182" s="41">
        <v>2.4231539391699886</v>
      </c>
      <c r="J182" s="51">
        <v>1.44</v>
      </c>
      <c r="K182" s="51">
        <v>5.53</v>
      </c>
      <c r="L182" s="55">
        <v>131.6</v>
      </c>
      <c r="M182" s="51">
        <v>0.72</v>
      </c>
      <c r="N182" s="51">
        <v>4.26</v>
      </c>
      <c r="O182" s="41">
        <v>5.4669999999999996</v>
      </c>
    </row>
    <row r="183" spans="1:15">
      <c r="A183" t="s">
        <v>243</v>
      </c>
      <c r="B183" t="str">
        <f t="shared" si="2"/>
        <v>Trial 2</v>
      </c>
      <c r="C183" t="s">
        <v>92</v>
      </c>
      <c r="D183" t="s">
        <v>320</v>
      </c>
      <c r="E183" t="s">
        <v>334</v>
      </c>
      <c r="F183" s="41">
        <v>0.43762132096569162</v>
      </c>
      <c r="G183" s="41">
        <v>2.5571757850797274</v>
      </c>
      <c r="H183" s="41">
        <v>3.1424962081966381</v>
      </c>
      <c r="I183" s="41">
        <v>2.1881222501506339</v>
      </c>
      <c r="J183" s="51">
        <v>1.1599999999999999</v>
      </c>
      <c r="K183" s="51">
        <v>3.92</v>
      </c>
      <c r="L183" s="55">
        <v>114.5</v>
      </c>
      <c r="M183" s="51">
        <v>0.68</v>
      </c>
      <c r="N183" s="51">
        <v>4.97</v>
      </c>
      <c r="O183" s="41">
        <v>4.8490000000000002</v>
      </c>
    </row>
    <row r="184" spans="1:15">
      <c r="A184" t="s">
        <v>244</v>
      </c>
      <c r="B184" t="str">
        <f t="shared" si="2"/>
        <v>Trial 2</v>
      </c>
      <c r="C184" t="s">
        <v>92</v>
      </c>
      <c r="D184" t="s">
        <v>320</v>
      </c>
      <c r="E184" t="s">
        <v>334</v>
      </c>
      <c r="F184" s="41">
        <v>0.53728753549697494</v>
      </c>
      <c r="G184" s="41">
        <v>3.2435945501208407</v>
      </c>
      <c r="H184" s="41">
        <v>3.984771546820788</v>
      </c>
      <c r="I184" s="41">
        <v>2.4440207371905793</v>
      </c>
      <c r="J184" s="51">
        <v>2.16</v>
      </c>
      <c r="K184" s="51">
        <v>4.6900000000000004</v>
      </c>
      <c r="L184" s="55">
        <v>138.5</v>
      </c>
      <c r="M184" s="51">
        <v>0.6</v>
      </c>
      <c r="N184" s="51">
        <v>4.5199999999999996</v>
      </c>
      <c r="O184" s="41">
        <v>6.165</v>
      </c>
    </row>
    <row r="185" spans="1:15">
      <c r="A185" t="s">
        <v>245</v>
      </c>
      <c r="B185" t="str">
        <f t="shared" si="2"/>
        <v>Trial 2</v>
      </c>
      <c r="C185" t="s">
        <v>96</v>
      </c>
      <c r="D185" t="s">
        <v>132</v>
      </c>
      <c r="E185" t="s">
        <v>334</v>
      </c>
      <c r="F185" s="41">
        <v>0.54527777285066148</v>
      </c>
      <c r="G185" s="41">
        <v>3.0681284075334907</v>
      </c>
      <c r="H185" s="41">
        <v>4.3988091697561638</v>
      </c>
      <c r="I185" s="41">
        <v>2.2972257940868674</v>
      </c>
      <c r="J185" s="51">
        <v>1.21</v>
      </c>
      <c r="K185" s="51">
        <v>4.47</v>
      </c>
      <c r="L185" s="55">
        <v>162</v>
      </c>
      <c r="M185" s="51">
        <v>0.95</v>
      </c>
      <c r="N185" s="51">
        <v>4.67</v>
      </c>
      <c r="O185" s="41">
        <v>5.2789999999999999</v>
      </c>
    </row>
    <row r="186" spans="1:15">
      <c r="A186" t="s">
        <v>246</v>
      </c>
      <c r="B186" t="str">
        <f t="shared" si="2"/>
        <v>Trial 2</v>
      </c>
      <c r="C186" t="s">
        <v>96</v>
      </c>
      <c r="D186" t="s">
        <v>132</v>
      </c>
      <c r="E186" t="s">
        <v>334</v>
      </c>
      <c r="F186" s="41">
        <v>0.57421698150940181</v>
      </c>
      <c r="G186" s="41">
        <v>3.7947348894975859</v>
      </c>
      <c r="H186" s="41">
        <v>4.4914463461085736</v>
      </c>
      <c r="I186" s="41">
        <v>2.4079629102109981</v>
      </c>
      <c r="J186" s="51">
        <v>1.56</v>
      </c>
      <c r="K186" s="51">
        <v>3.93</v>
      </c>
      <c r="L186" s="55">
        <v>186</v>
      </c>
      <c r="M186" s="51">
        <v>0.86</v>
      </c>
      <c r="N186" s="51">
        <v>4.12</v>
      </c>
      <c r="O186" s="41">
        <v>5.3849999999999998</v>
      </c>
    </row>
    <row r="187" spans="1:15">
      <c r="A187" t="s">
        <v>247</v>
      </c>
      <c r="B187" t="str">
        <f t="shared" si="2"/>
        <v>Trial 2</v>
      </c>
      <c r="C187" t="s">
        <v>96</v>
      </c>
      <c r="D187" t="s">
        <v>132</v>
      </c>
      <c r="E187" t="s">
        <v>334</v>
      </c>
      <c r="F187" s="41">
        <v>0.72675127858669442</v>
      </c>
      <c r="G187" s="41">
        <v>4.1646278565722987</v>
      </c>
      <c r="H187" s="41">
        <v>5.1287735201010625</v>
      </c>
      <c r="I187" s="41">
        <v>2.9645921998381284</v>
      </c>
      <c r="J187" s="51">
        <v>0.82</v>
      </c>
      <c r="K187" s="51">
        <v>3.61</v>
      </c>
      <c r="L187" s="55">
        <v>184.4</v>
      </c>
      <c r="M187" s="51">
        <v>0.84</v>
      </c>
      <c r="N187" s="51">
        <v>4.38</v>
      </c>
      <c r="O187" s="41">
        <v>3.36</v>
      </c>
    </row>
    <row r="188" spans="1:15">
      <c r="A188" t="s">
        <v>248</v>
      </c>
      <c r="B188" t="str">
        <f t="shared" si="2"/>
        <v>Trial 2</v>
      </c>
      <c r="C188" t="s">
        <v>100</v>
      </c>
      <c r="D188" t="s">
        <v>136</v>
      </c>
      <c r="E188" t="s">
        <v>334</v>
      </c>
      <c r="F188" s="41">
        <v>0.4631776144293791</v>
      </c>
      <c r="G188" s="41">
        <v>3.2670772579975704</v>
      </c>
      <c r="H188" s="41">
        <v>3.1270127624583139</v>
      </c>
      <c r="I188" s="41">
        <v>1.4750426518785493</v>
      </c>
      <c r="J188" s="51">
        <v>2.2599999999999998</v>
      </c>
      <c r="K188" s="51">
        <v>4.9000000000000004</v>
      </c>
      <c r="L188" s="55">
        <v>101</v>
      </c>
      <c r="M188" s="51">
        <v>1.67</v>
      </c>
      <c r="N188" s="51">
        <v>4.2</v>
      </c>
      <c r="O188" s="41">
        <v>6.91</v>
      </c>
    </row>
    <row r="189" spans="1:15">
      <c r="A189" t="s">
        <v>249</v>
      </c>
      <c r="B189" t="str">
        <f t="shared" si="2"/>
        <v>Trial 2</v>
      </c>
      <c r="C189" t="s">
        <v>100</v>
      </c>
      <c r="D189" t="s">
        <v>136</v>
      </c>
      <c r="E189" t="s">
        <v>334</v>
      </c>
      <c r="F189" s="41">
        <v>0.61164336256562479</v>
      </c>
      <c r="G189" s="41">
        <v>4.0239345344266004</v>
      </c>
      <c r="H189" s="41">
        <v>3.6755122808873937</v>
      </c>
      <c r="I189" s="41">
        <v>2.2667349307220648</v>
      </c>
      <c r="J189" s="51">
        <v>2.83</v>
      </c>
      <c r="K189" s="51">
        <v>5.35</v>
      </c>
      <c r="L189" s="55">
        <v>116.5</v>
      </c>
      <c r="M189" s="51">
        <v>1.66</v>
      </c>
      <c r="N189" s="51">
        <v>4.46</v>
      </c>
      <c r="O189" s="41">
        <v>7.1260000000000003</v>
      </c>
    </row>
    <row r="190" spans="1:15">
      <c r="A190" t="s">
        <v>250</v>
      </c>
      <c r="B190" t="str">
        <f t="shared" si="2"/>
        <v>Trial 2</v>
      </c>
      <c r="C190" t="s">
        <v>100</v>
      </c>
      <c r="D190" t="s">
        <v>136</v>
      </c>
      <c r="E190" t="s">
        <v>334</v>
      </c>
      <c r="F190" s="41">
        <v>0.57068891346650452</v>
      </c>
      <c r="G190" s="41">
        <v>3.9148734995660739</v>
      </c>
      <c r="H190" s="41">
        <v>3.3813630828496599</v>
      </c>
      <c r="I190" s="41">
        <v>2.438784661372984</v>
      </c>
      <c r="J190" s="51">
        <v>3.79</v>
      </c>
      <c r="K190" s="51">
        <v>6.01</v>
      </c>
      <c r="L190" s="55">
        <v>108.2</v>
      </c>
      <c r="M190" s="51">
        <v>1.94</v>
      </c>
      <c r="N190" s="51">
        <v>3.84</v>
      </c>
      <c r="O190" s="41">
        <v>8.7010000000000005</v>
      </c>
    </row>
    <row r="191" spans="1:15">
      <c r="A191" t="s">
        <v>251</v>
      </c>
      <c r="B191" t="str">
        <f t="shared" si="2"/>
        <v>Trial 2</v>
      </c>
      <c r="C191" t="s">
        <v>104</v>
      </c>
      <c r="D191" t="s">
        <v>321</v>
      </c>
      <c r="E191" t="s">
        <v>334</v>
      </c>
      <c r="F191" s="41">
        <v>0.48819257315463555</v>
      </c>
      <c r="G191" s="41">
        <v>4.1766746662096104</v>
      </c>
      <c r="H191" s="41">
        <v>3.4586149584966739</v>
      </c>
      <c r="I191" s="41">
        <v>2.6524636540749817</v>
      </c>
      <c r="J191" s="51">
        <v>2.83</v>
      </c>
      <c r="K191" s="51">
        <v>5.6</v>
      </c>
      <c r="L191" s="55">
        <v>114.1</v>
      </c>
      <c r="M191" s="51">
        <v>1.62</v>
      </c>
      <c r="N191" s="51">
        <v>4.0599999999999996</v>
      </c>
      <c r="O191" s="41">
        <v>8.6549999999999994</v>
      </c>
    </row>
    <row r="192" spans="1:15">
      <c r="A192" t="s">
        <v>252</v>
      </c>
      <c r="B192" t="str">
        <f t="shared" si="2"/>
        <v>Trial 2</v>
      </c>
      <c r="C192" t="s">
        <v>104</v>
      </c>
      <c r="D192" t="s">
        <v>321</v>
      </c>
      <c r="E192" t="s">
        <v>334</v>
      </c>
      <c r="F192" s="41">
        <v>0.49817055068350702</v>
      </c>
      <c r="G192" s="41">
        <v>3.677343244665781</v>
      </c>
      <c r="H192" s="41">
        <v>3.5667185118860294</v>
      </c>
      <c r="I192" s="41">
        <v>2.28688927663881</v>
      </c>
      <c r="J192" s="51">
        <v>2.2400000000000002</v>
      </c>
      <c r="K192" s="51">
        <v>4.9400000000000004</v>
      </c>
      <c r="L192" s="55">
        <v>113.8</v>
      </c>
      <c r="M192" s="51">
        <v>1.38</v>
      </c>
      <c r="N192" s="51">
        <v>4.28</v>
      </c>
      <c r="O192" s="41">
        <v>6.0289999999999999</v>
      </c>
    </row>
    <row r="193" spans="1:15">
      <c r="A193" t="s">
        <v>253</v>
      </c>
      <c r="B193" t="str">
        <f t="shared" si="2"/>
        <v>Trial 2</v>
      </c>
      <c r="C193" t="s">
        <v>104</v>
      </c>
      <c r="D193" t="s">
        <v>321</v>
      </c>
      <c r="E193" t="s">
        <v>334</v>
      </c>
      <c r="F193" s="41">
        <v>0.53429824067166454</v>
      </c>
      <c r="G193" s="41">
        <v>3.5604258037861873</v>
      </c>
      <c r="H193" s="41">
        <v>3.5402193529953045</v>
      </c>
      <c r="I193" s="41">
        <v>2.713847811909269</v>
      </c>
      <c r="J193" s="51">
        <v>2.7</v>
      </c>
      <c r="K193" s="51">
        <v>5.43</v>
      </c>
      <c r="L193" s="55">
        <v>111.1</v>
      </c>
      <c r="M193" s="51">
        <v>0.98</v>
      </c>
      <c r="N193" s="51">
        <v>4.01</v>
      </c>
      <c r="O193" s="41">
        <v>7.3079999999999998</v>
      </c>
    </row>
    <row r="194" spans="1:15">
      <c r="A194" t="s">
        <v>254</v>
      </c>
      <c r="B194" t="str">
        <f t="shared" ref="B194:B253" si="3">B193</f>
        <v>Trial 2</v>
      </c>
      <c r="C194" t="s">
        <v>108</v>
      </c>
      <c r="D194" t="s">
        <v>322</v>
      </c>
      <c r="E194" t="s">
        <v>334</v>
      </c>
      <c r="F194" s="41">
        <v>0.52856214166097149</v>
      </c>
      <c r="G194" s="41">
        <v>3.2599252157318448</v>
      </c>
      <c r="H194" s="41">
        <v>3.6153835131049132</v>
      </c>
      <c r="I194" s="41">
        <v>2.2017706265416739</v>
      </c>
      <c r="J194" s="51">
        <v>2.0099999999999998</v>
      </c>
      <c r="K194" s="51">
        <v>5.13</v>
      </c>
      <c r="L194" s="55">
        <v>127.4</v>
      </c>
      <c r="M194" s="51">
        <v>2.19</v>
      </c>
      <c r="N194" s="51">
        <v>4.03</v>
      </c>
      <c r="O194" s="41">
        <v>5.6779999999999999</v>
      </c>
    </row>
    <row r="195" spans="1:15">
      <c r="A195" t="s">
        <v>255</v>
      </c>
      <c r="B195" t="str">
        <f t="shared" si="3"/>
        <v>Trial 2</v>
      </c>
      <c r="C195" t="s">
        <v>108</v>
      </c>
      <c r="D195" t="s">
        <v>322</v>
      </c>
      <c r="E195" t="s">
        <v>334</v>
      </c>
      <c r="F195" s="41">
        <v>0.41299827492961466</v>
      </c>
      <c r="G195" s="41">
        <v>3.1775482994389339</v>
      </c>
      <c r="H195" s="41">
        <v>3.5965695370100335</v>
      </c>
      <c r="I195" s="41">
        <v>1.9905956496021464</v>
      </c>
      <c r="J195" s="51">
        <v>1.91</v>
      </c>
      <c r="K195" s="51">
        <v>4.82</v>
      </c>
      <c r="L195" s="55">
        <v>133.1</v>
      </c>
      <c r="M195" s="51">
        <v>1.82</v>
      </c>
      <c r="N195" s="51">
        <v>4.29</v>
      </c>
      <c r="O195" s="41">
        <v>5.694</v>
      </c>
    </row>
    <row r="196" spans="1:15">
      <c r="A196" t="s">
        <v>256</v>
      </c>
      <c r="B196" t="str">
        <f t="shared" si="3"/>
        <v>Trial 2</v>
      </c>
      <c r="C196" t="s">
        <v>108</v>
      </c>
      <c r="D196" t="s">
        <v>322</v>
      </c>
      <c r="E196" t="s">
        <v>334</v>
      </c>
      <c r="F196" s="41">
        <v>0.39606747598900266</v>
      </c>
      <c r="G196" s="41">
        <v>2.8331170941225903</v>
      </c>
      <c r="H196" s="41">
        <v>3.2558238510017699</v>
      </c>
      <c r="I196" s="41">
        <v>2.1149543133770043</v>
      </c>
      <c r="J196" s="51">
        <v>1.41</v>
      </c>
      <c r="K196" s="51">
        <v>4.58</v>
      </c>
      <c r="L196" s="55">
        <v>121.1</v>
      </c>
      <c r="M196" s="51">
        <v>2.15</v>
      </c>
      <c r="N196" s="51">
        <v>4.5199999999999996</v>
      </c>
      <c r="O196" s="41">
        <v>4.8319999999999999</v>
      </c>
    </row>
    <row r="197" spans="1:15">
      <c r="A197" t="s">
        <v>257</v>
      </c>
      <c r="B197" t="str">
        <f t="shared" si="3"/>
        <v>Trial 2</v>
      </c>
      <c r="C197" t="s">
        <v>112</v>
      </c>
      <c r="D197" t="s">
        <v>148</v>
      </c>
      <c r="E197" t="s">
        <v>334</v>
      </c>
      <c r="F197" s="41">
        <v>0.3937100229719554</v>
      </c>
      <c r="G197" s="41">
        <v>3.2277364864216684</v>
      </c>
      <c r="H197" s="41">
        <v>4.040953177409401</v>
      </c>
      <c r="I197" s="41">
        <v>1.861100772543077</v>
      </c>
      <c r="J197" s="51">
        <v>0.54</v>
      </c>
      <c r="K197" s="51">
        <v>3.01</v>
      </c>
      <c r="L197" s="55">
        <v>154.5</v>
      </c>
      <c r="M197" s="51">
        <v>2.16</v>
      </c>
      <c r="N197" s="51">
        <v>5.24</v>
      </c>
      <c r="O197" s="41">
        <v>3.16</v>
      </c>
    </row>
    <row r="198" spans="1:15">
      <c r="A198" t="s">
        <v>258</v>
      </c>
      <c r="B198" t="str">
        <f t="shared" si="3"/>
        <v>Trial 2</v>
      </c>
      <c r="C198" t="s">
        <v>112</v>
      </c>
      <c r="D198" t="s">
        <v>148</v>
      </c>
      <c r="E198" t="s">
        <v>334</v>
      </c>
      <c r="F198" s="41">
        <v>0.29431618349045036</v>
      </c>
      <c r="G198" s="41">
        <v>1.9133851784724145</v>
      </c>
      <c r="H198" s="41">
        <v>2.7291370661410732</v>
      </c>
      <c r="I198" s="41">
        <v>1.0098725379756697</v>
      </c>
      <c r="J198" s="51">
        <v>0.18</v>
      </c>
      <c r="K198" s="51">
        <v>0.51</v>
      </c>
      <c r="L198" s="55">
        <v>96.9</v>
      </c>
      <c r="M198" s="51">
        <v>1.7</v>
      </c>
      <c r="N198" s="51">
        <v>4.66</v>
      </c>
      <c r="O198" s="41">
        <v>2.5529999999999999</v>
      </c>
    </row>
    <row r="199" spans="1:15">
      <c r="A199" t="s">
        <v>259</v>
      </c>
      <c r="B199" t="str">
        <f t="shared" si="3"/>
        <v>Trial 2</v>
      </c>
      <c r="C199" t="s">
        <v>112</v>
      </c>
      <c r="D199" t="s">
        <v>148</v>
      </c>
      <c r="E199" t="s">
        <v>334</v>
      </c>
      <c r="F199" s="41">
        <v>0.26749962177136205</v>
      </c>
      <c r="G199" s="41">
        <v>1.9921623100335051</v>
      </c>
      <c r="H199" s="41">
        <v>2.3553335727372469</v>
      </c>
      <c r="I199" s="41">
        <v>1.5118174024186952</v>
      </c>
      <c r="J199" s="51">
        <v>0.19</v>
      </c>
      <c r="K199" s="51">
        <v>0.46</v>
      </c>
      <c r="L199" s="55">
        <v>91.7</v>
      </c>
      <c r="M199" s="51">
        <v>1.52</v>
      </c>
      <c r="N199" s="51">
        <v>5.52</v>
      </c>
      <c r="O199" s="41">
        <v>3.2709999999999999</v>
      </c>
    </row>
    <row r="200" spans="1:15">
      <c r="A200" t="s">
        <v>260</v>
      </c>
      <c r="B200" t="str">
        <f t="shared" si="3"/>
        <v>Trial 2</v>
      </c>
      <c r="C200" t="s">
        <v>116</v>
      </c>
      <c r="D200" t="s">
        <v>323</v>
      </c>
      <c r="E200" t="s">
        <v>334</v>
      </c>
      <c r="F200" s="41">
        <v>0.42909914111667008</v>
      </c>
      <c r="G200" s="41">
        <v>3.4884103506517841</v>
      </c>
      <c r="H200" s="41">
        <v>3.474640335503778</v>
      </c>
      <c r="I200" s="41">
        <v>1.7926546940643926</v>
      </c>
      <c r="J200" s="51">
        <v>0.31</v>
      </c>
      <c r="K200" s="51">
        <v>0.77</v>
      </c>
      <c r="L200" s="55">
        <v>126.4</v>
      </c>
      <c r="M200" s="51">
        <v>1.74</v>
      </c>
      <c r="N200" s="51">
        <v>4.1100000000000003</v>
      </c>
      <c r="O200" s="41">
        <v>4.7770000000000001</v>
      </c>
    </row>
    <row r="201" spans="1:15">
      <c r="A201" t="s">
        <v>261</v>
      </c>
      <c r="B201" t="str">
        <f t="shared" si="3"/>
        <v>Trial 2</v>
      </c>
      <c r="C201" t="s">
        <v>116</v>
      </c>
      <c r="D201" t="s">
        <v>323</v>
      </c>
      <c r="E201" t="s">
        <v>334</v>
      </c>
      <c r="F201" s="41">
        <v>0.46996222930567655</v>
      </c>
      <c r="G201" s="41">
        <v>2.4312388568658463</v>
      </c>
      <c r="H201" s="41">
        <v>3.2712923616263874</v>
      </c>
      <c r="I201" s="41">
        <v>1.9225669070838738</v>
      </c>
      <c r="J201" s="51">
        <v>0.45</v>
      </c>
      <c r="K201" s="51">
        <v>0.82</v>
      </c>
      <c r="L201" s="55">
        <v>114.1</v>
      </c>
      <c r="M201" s="51">
        <v>1.57</v>
      </c>
      <c r="N201" s="51">
        <v>4.2300000000000004</v>
      </c>
      <c r="O201" s="41">
        <v>3.0329999999999999</v>
      </c>
    </row>
    <row r="202" spans="1:15">
      <c r="A202" t="s">
        <v>262</v>
      </c>
      <c r="B202" t="str">
        <f t="shared" si="3"/>
        <v>Trial 2</v>
      </c>
      <c r="C202" t="s">
        <v>116</v>
      </c>
      <c r="D202" t="s">
        <v>323</v>
      </c>
      <c r="E202" t="s">
        <v>334</v>
      </c>
      <c r="F202" s="41">
        <v>0.53624841187446637</v>
      </c>
      <c r="G202" s="41">
        <v>2.7194923802354904</v>
      </c>
      <c r="H202" s="41">
        <v>3.4008811428764192</v>
      </c>
      <c r="I202" s="41">
        <v>2.0951040265171308</v>
      </c>
      <c r="J202" s="51">
        <v>0.73</v>
      </c>
      <c r="K202" s="51">
        <v>1.1000000000000001</v>
      </c>
      <c r="L202" s="55">
        <v>113.1</v>
      </c>
      <c r="M202" s="51">
        <v>1.58</v>
      </c>
      <c r="N202" s="51">
        <v>4.99</v>
      </c>
      <c r="O202" s="41">
        <v>4.6539999999999999</v>
      </c>
    </row>
    <row r="203" spans="1:15">
      <c r="A203" t="s">
        <v>263</v>
      </c>
      <c r="B203" t="str">
        <f t="shared" si="3"/>
        <v>Trial 2</v>
      </c>
      <c r="C203" t="s">
        <v>120</v>
      </c>
      <c r="D203" t="s">
        <v>156</v>
      </c>
      <c r="E203" t="s">
        <v>334</v>
      </c>
      <c r="F203" s="41">
        <v>0.61799337273867105</v>
      </c>
      <c r="G203" s="41">
        <v>2.9664474386859814</v>
      </c>
      <c r="H203" s="41">
        <v>2.7386507335721317</v>
      </c>
      <c r="I203" s="41">
        <v>1.8951628393405464</v>
      </c>
      <c r="J203" s="51">
        <v>1.01</v>
      </c>
      <c r="K203" s="51">
        <v>1.1499999999999999</v>
      </c>
      <c r="L203" s="55">
        <v>91.3</v>
      </c>
      <c r="M203" s="51">
        <v>1.77</v>
      </c>
      <c r="N203" s="51">
        <v>4.87</v>
      </c>
      <c r="O203" s="41">
        <v>4.3369999999999997</v>
      </c>
    </row>
    <row r="204" spans="1:15">
      <c r="A204" t="s">
        <v>264</v>
      </c>
      <c r="B204" t="str">
        <f t="shared" si="3"/>
        <v>Trial 2</v>
      </c>
      <c r="C204" t="s">
        <v>120</v>
      </c>
      <c r="D204" t="s">
        <v>156</v>
      </c>
      <c r="E204" t="s">
        <v>334</v>
      </c>
      <c r="F204" s="41">
        <v>0.38790561673874746</v>
      </c>
      <c r="G204" s="41">
        <v>2.5797004728097614</v>
      </c>
      <c r="H204" s="41">
        <v>2.4982786128162591</v>
      </c>
      <c r="I204" s="41">
        <v>1.438024952190021</v>
      </c>
      <c r="J204" s="51">
        <v>0.73</v>
      </c>
      <c r="K204" s="51">
        <v>0.93</v>
      </c>
      <c r="L204" s="55">
        <v>89</v>
      </c>
      <c r="M204" s="51">
        <v>1.51</v>
      </c>
      <c r="N204" s="51">
        <v>4.6900000000000004</v>
      </c>
      <c r="O204" s="41">
        <v>3.379</v>
      </c>
    </row>
    <row r="205" spans="1:15">
      <c r="A205" t="s">
        <v>265</v>
      </c>
      <c r="B205" t="str">
        <f t="shared" si="3"/>
        <v>Trial 2</v>
      </c>
      <c r="C205" t="s">
        <v>120</v>
      </c>
      <c r="D205" t="s">
        <v>156</v>
      </c>
      <c r="E205" t="s">
        <v>334</v>
      </c>
      <c r="F205" s="41">
        <v>0.40757553530220902</v>
      </c>
      <c r="G205" s="41">
        <v>2.8221447195661891</v>
      </c>
      <c r="H205" s="41">
        <v>2.3955058282262982</v>
      </c>
      <c r="I205" s="41">
        <v>1.4123766764515688</v>
      </c>
      <c r="J205" s="51">
        <v>0.72</v>
      </c>
      <c r="K205" s="51">
        <v>0.93</v>
      </c>
      <c r="L205" s="55">
        <v>85.8</v>
      </c>
      <c r="M205" s="51">
        <v>1.37</v>
      </c>
      <c r="N205" s="51">
        <v>4.7</v>
      </c>
      <c r="O205" s="41">
        <v>3.2370000000000001</v>
      </c>
    </row>
    <row r="206" spans="1:15">
      <c r="A206" t="s">
        <v>266</v>
      </c>
      <c r="B206" t="str">
        <f t="shared" si="3"/>
        <v>Trial 2</v>
      </c>
      <c r="C206" t="s">
        <v>124</v>
      </c>
      <c r="D206" t="s">
        <v>160</v>
      </c>
      <c r="E206" t="s">
        <v>334</v>
      </c>
      <c r="F206" s="41">
        <v>0.46325702157555271</v>
      </c>
      <c r="G206" s="41">
        <v>2.5463561383728002</v>
      </c>
      <c r="H206" s="41">
        <v>2.6421389620067139</v>
      </c>
      <c r="I206" s="41">
        <v>1.6258037770917468</v>
      </c>
      <c r="J206" s="51">
        <v>0.56999999999999995</v>
      </c>
      <c r="K206" s="51">
        <v>0.89</v>
      </c>
      <c r="L206" s="55">
        <v>119</v>
      </c>
      <c r="M206" s="51">
        <v>1.79</v>
      </c>
      <c r="N206" s="51">
        <v>4.25</v>
      </c>
      <c r="O206" s="41">
        <v>3.6120000000000001</v>
      </c>
    </row>
    <row r="207" spans="1:15">
      <c r="A207" t="s">
        <v>267</v>
      </c>
      <c r="B207" t="str">
        <f t="shared" si="3"/>
        <v>Trial 2</v>
      </c>
      <c r="C207" t="s">
        <v>124</v>
      </c>
      <c r="D207" t="s">
        <v>160</v>
      </c>
      <c r="E207" t="s">
        <v>334</v>
      </c>
      <c r="F207" s="41">
        <v>0.48071890917121846</v>
      </c>
      <c r="G207" s="41">
        <v>2.7293128877593245</v>
      </c>
      <c r="H207" s="41">
        <v>3.1383773171951455</v>
      </c>
      <c r="I207" s="41">
        <v>1.7394398876551669</v>
      </c>
      <c r="J207" s="51">
        <v>0.48</v>
      </c>
      <c r="K207" s="51">
        <v>0.83</v>
      </c>
      <c r="L207" s="55">
        <v>99</v>
      </c>
      <c r="M207" s="51">
        <v>1.81</v>
      </c>
      <c r="N207" s="51">
        <v>4.32</v>
      </c>
      <c r="O207" s="41">
        <v>3.1080000000000001</v>
      </c>
    </row>
    <row r="208" spans="1:15">
      <c r="A208" t="s">
        <v>268</v>
      </c>
      <c r="B208" t="str">
        <f t="shared" si="3"/>
        <v>Trial 2</v>
      </c>
      <c r="C208" t="s">
        <v>124</v>
      </c>
      <c r="D208" t="s">
        <v>160</v>
      </c>
      <c r="E208" t="s">
        <v>334</v>
      </c>
      <c r="F208" s="41">
        <v>0.46414074626683993</v>
      </c>
      <c r="G208" s="41">
        <v>2.8357690049634474</v>
      </c>
      <c r="H208" s="41">
        <v>3.2784057429260391</v>
      </c>
      <c r="I208" s="41">
        <v>1.6801289952527827</v>
      </c>
      <c r="J208" s="51">
        <v>0.63</v>
      </c>
      <c r="K208" s="51">
        <v>1.08</v>
      </c>
      <c r="L208" s="55">
        <v>112.2</v>
      </c>
      <c r="M208" s="51">
        <v>2.0499999999999998</v>
      </c>
      <c r="N208" s="51">
        <v>4.1500000000000004</v>
      </c>
      <c r="O208" s="41">
        <v>3.698</v>
      </c>
    </row>
    <row r="209" spans="1:15">
      <c r="A209" t="s">
        <v>269</v>
      </c>
      <c r="B209" t="str">
        <f t="shared" si="3"/>
        <v>Trial 2</v>
      </c>
      <c r="C209" t="s">
        <v>128</v>
      </c>
      <c r="D209" t="s">
        <v>320</v>
      </c>
      <c r="E209" t="s">
        <v>331</v>
      </c>
      <c r="F209" s="41">
        <v>0.55801706984969979</v>
      </c>
      <c r="G209" s="41">
        <v>3.4672911863476736</v>
      </c>
      <c r="H209" s="41">
        <v>5.1722293670178772</v>
      </c>
      <c r="I209" s="41">
        <v>1.2848924644303408</v>
      </c>
      <c r="J209" s="51">
        <v>0</v>
      </c>
      <c r="K209" s="51">
        <v>0.13</v>
      </c>
      <c r="L209" s="55">
        <v>212.2</v>
      </c>
      <c r="M209" s="51">
        <v>0.22</v>
      </c>
      <c r="N209" s="51">
        <v>5.0999999999999996</v>
      </c>
      <c r="O209" s="41">
        <v>2.1960000000000002</v>
      </c>
    </row>
    <row r="210" spans="1:15">
      <c r="A210" t="s">
        <v>270</v>
      </c>
      <c r="B210" t="str">
        <f t="shared" si="3"/>
        <v>Trial 2</v>
      </c>
      <c r="C210" t="s">
        <v>128</v>
      </c>
      <c r="D210" t="s">
        <v>320</v>
      </c>
      <c r="E210" t="s">
        <v>331</v>
      </c>
      <c r="F210" s="41">
        <v>0.5198205248596206</v>
      </c>
      <c r="G210" s="41">
        <v>3.5009351023355251</v>
      </c>
      <c r="H210" s="41">
        <v>4.9473268236804584</v>
      </c>
      <c r="I210" s="41">
        <v>1.5651425047603158</v>
      </c>
      <c r="J210" s="51">
        <v>0</v>
      </c>
      <c r="K210" s="51">
        <v>0.19</v>
      </c>
      <c r="L210" s="55">
        <v>206.8</v>
      </c>
      <c r="M210" s="51">
        <v>0</v>
      </c>
      <c r="N210" s="51">
        <v>5.16</v>
      </c>
      <c r="O210" s="41">
        <v>2.2050000000000001</v>
      </c>
    </row>
    <row r="211" spans="1:15">
      <c r="A211" t="s">
        <v>271</v>
      </c>
      <c r="B211" t="str">
        <f t="shared" si="3"/>
        <v>Trial 2</v>
      </c>
      <c r="C211" t="s">
        <v>128</v>
      </c>
      <c r="D211" t="s">
        <v>320</v>
      </c>
      <c r="E211" t="s">
        <v>331</v>
      </c>
      <c r="F211" s="41">
        <v>0.47249301189985554</v>
      </c>
      <c r="G211" s="41">
        <v>3.6382587995505333</v>
      </c>
      <c r="H211" s="41">
        <v>4.8623097556998864</v>
      </c>
      <c r="I211" s="41">
        <v>1.9379844898499448</v>
      </c>
      <c r="J211" s="51">
        <v>0</v>
      </c>
      <c r="K211" s="51">
        <v>0.22</v>
      </c>
      <c r="L211" s="55">
        <v>206.2</v>
      </c>
      <c r="M211" s="51">
        <v>0</v>
      </c>
      <c r="N211" s="51">
        <v>5.47</v>
      </c>
      <c r="O211" s="41">
        <v>2.496</v>
      </c>
    </row>
    <row r="212" spans="1:15">
      <c r="A212" t="s">
        <v>272</v>
      </c>
      <c r="B212" t="str">
        <f t="shared" si="3"/>
        <v>Trial 2</v>
      </c>
      <c r="C212" t="s">
        <v>132</v>
      </c>
      <c r="D212" t="s">
        <v>132</v>
      </c>
      <c r="E212" t="s">
        <v>331</v>
      </c>
      <c r="F212" s="41">
        <v>0.47517833958497446</v>
      </c>
      <c r="G212" s="41">
        <v>3.3907035099713423</v>
      </c>
      <c r="H212" s="41">
        <v>5.1870674024853125</v>
      </c>
      <c r="I212" s="41">
        <v>2.3718708020632402</v>
      </c>
      <c r="J212" s="51">
        <v>0</v>
      </c>
      <c r="K212" s="51">
        <v>0.11</v>
      </c>
      <c r="L212" s="55">
        <v>199.9</v>
      </c>
      <c r="M212" s="51">
        <v>1.32</v>
      </c>
      <c r="N212" s="51">
        <v>4</v>
      </c>
      <c r="O212" s="41">
        <v>1.9059999999999999</v>
      </c>
    </row>
    <row r="213" spans="1:15">
      <c r="A213" t="s">
        <v>273</v>
      </c>
      <c r="B213" t="str">
        <f t="shared" si="3"/>
        <v>Trial 2</v>
      </c>
      <c r="C213" t="s">
        <v>132</v>
      </c>
      <c r="D213" t="s">
        <v>132</v>
      </c>
      <c r="E213" t="s">
        <v>331</v>
      </c>
      <c r="F213" s="41">
        <v>0.4830353778547567</v>
      </c>
      <c r="G213" s="41">
        <v>3.5230064126382761</v>
      </c>
      <c r="H213" s="41">
        <v>4.7839238782050124</v>
      </c>
      <c r="I213" s="41">
        <v>2.1554597493061176</v>
      </c>
      <c r="J213" s="51">
        <v>0</v>
      </c>
      <c r="K213" s="51">
        <v>0.22</v>
      </c>
      <c r="L213" s="55">
        <v>193.6</v>
      </c>
      <c r="M213" s="51">
        <v>0.8</v>
      </c>
      <c r="N213" s="51">
        <v>3.93</v>
      </c>
      <c r="O213" s="41">
        <v>2.6539999999999999</v>
      </c>
    </row>
    <row r="214" spans="1:15">
      <c r="A214" t="s">
        <v>274</v>
      </c>
      <c r="B214" t="str">
        <f t="shared" si="3"/>
        <v>Trial 2</v>
      </c>
      <c r="C214" t="s">
        <v>132</v>
      </c>
      <c r="D214" t="s">
        <v>132</v>
      </c>
      <c r="E214" t="s">
        <v>331</v>
      </c>
      <c r="F214" s="41">
        <v>0.45641434556011751</v>
      </c>
      <c r="G214" s="41">
        <v>3.6016425646460064</v>
      </c>
      <c r="H214" s="41">
        <v>4.9376595379369901</v>
      </c>
      <c r="I214" s="41">
        <v>1.9590420700238671</v>
      </c>
      <c r="J214" s="51">
        <v>0</v>
      </c>
      <c r="K214" s="51">
        <v>0.27</v>
      </c>
      <c r="L214" s="55">
        <v>190</v>
      </c>
      <c r="M214" s="51">
        <v>0.69</v>
      </c>
      <c r="N214" s="51">
        <v>3.9</v>
      </c>
      <c r="O214" s="41">
        <v>2.456</v>
      </c>
    </row>
    <row r="215" spans="1:15">
      <c r="A215" t="s">
        <v>275</v>
      </c>
      <c r="B215" t="str">
        <f t="shared" si="3"/>
        <v>Trial 2</v>
      </c>
      <c r="C215" t="s">
        <v>136</v>
      </c>
      <c r="D215" t="s">
        <v>136</v>
      </c>
      <c r="E215" t="s">
        <v>331</v>
      </c>
      <c r="F215" s="41">
        <v>0.5407302195117285</v>
      </c>
      <c r="G215" s="41">
        <v>4.6236684965954238</v>
      </c>
      <c r="H215" s="41">
        <v>4.2173667405109043</v>
      </c>
      <c r="I215" s="41">
        <v>3.1347415613836009</v>
      </c>
      <c r="J215" s="51">
        <v>3.64</v>
      </c>
      <c r="K215" s="51">
        <v>3.75</v>
      </c>
      <c r="L215" s="55">
        <v>142.4</v>
      </c>
      <c r="M215" s="51">
        <v>1.59</v>
      </c>
      <c r="N215" s="51">
        <v>3.66</v>
      </c>
      <c r="O215" s="41">
        <v>7.4610000000000003</v>
      </c>
    </row>
    <row r="216" spans="1:15">
      <c r="A216" t="s">
        <v>276</v>
      </c>
      <c r="B216" t="str">
        <f t="shared" si="3"/>
        <v>Trial 2</v>
      </c>
      <c r="C216" t="s">
        <v>136</v>
      </c>
      <c r="D216" t="s">
        <v>136</v>
      </c>
      <c r="E216" t="s">
        <v>331</v>
      </c>
      <c r="F216" s="41">
        <v>0.50324748499693073</v>
      </c>
      <c r="G216" s="41">
        <v>3.6226458480293622</v>
      </c>
      <c r="H216" s="41">
        <v>3.8103635561313038</v>
      </c>
      <c r="I216" s="41">
        <v>2.5407696462130498</v>
      </c>
      <c r="J216" s="51">
        <v>2.2000000000000002</v>
      </c>
      <c r="K216" s="51">
        <v>3.05</v>
      </c>
      <c r="L216" s="55">
        <v>128.80000000000001</v>
      </c>
      <c r="M216" s="51">
        <v>0.94</v>
      </c>
      <c r="N216" s="51">
        <v>3.93</v>
      </c>
      <c r="O216" s="41">
        <v>4.6749999999999998</v>
      </c>
    </row>
    <row r="217" spans="1:15">
      <c r="A217" t="s">
        <v>277</v>
      </c>
      <c r="B217" t="str">
        <f t="shared" si="3"/>
        <v>Trial 2</v>
      </c>
      <c r="C217" t="s">
        <v>136</v>
      </c>
      <c r="D217" t="s">
        <v>136</v>
      </c>
      <c r="E217" t="s">
        <v>331</v>
      </c>
      <c r="F217" s="41">
        <v>0.4375239831736078</v>
      </c>
      <c r="G217" s="41">
        <v>3.6636554116668192</v>
      </c>
      <c r="H217" s="41">
        <v>3.7731580543006706</v>
      </c>
      <c r="I217" s="41">
        <v>2.2267675600847685</v>
      </c>
      <c r="J217" s="51">
        <v>2.16</v>
      </c>
      <c r="K217" s="51">
        <v>2.84</v>
      </c>
      <c r="L217" s="55">
        <v>137.30000000000001</v>
      </c>
      <c r="M217" s="51">
        <v>1.1200000000000001</v>
      </c>
      <c r="N217" s="51">
        <v>3.84</v>
      </c>
      <c r="O217" s="41">
        <v>6.0419999999999998</v>
      </c>
    </row>
    <row r="218" spans="1:15">
      <c r="A218" t="s">
        <v>278</v>
      </c>
      <c r="B218" t="str">
        <f t="shared" si="3"/>
        <v>Trial 2</v>
      </c>
      <c r="C218" t="s">
        <v>140</v>
      </c>
      <c r="D218" t="s">
        <v>321</v>
      </c>
      <c r="E218" t="s">
        <v>331</v>
      </c>
      <c r="F218" s="41">
        <v>0.3746984152654817</v>
      </c>
      <c r="G218" s="41">
        <v>2.1501939811886563</v>
      </c>
      <c r="H218" s="41">
        <v>3.0883500202474585</v>
      </c>
      <c r="I218" s="41">
        <v>1.3777676014488458</v>
      </c>
      <c r="J218" s="51">
        <v>0.47</v>
      </c>
      <c r="K218" s="51">
        <v>1.2</v>
      </c>
      <c r="L218" s="55">
        <v>105.2</v>
      </c>
      <c r="M218" s="51">
        <v>2.2799999999999998</v>
      </c>
      <c r="N218" s="51">
        <v>3.97</v>
      </c>
      <c r="O218" s="41">
        <v>2.9809999999999999</v>
      </c>
    </row>
    <row r="219" spans="1:15">
      <c r="A219" t="s">
        <v>279</v>
      </c>
      <c r="B219" t="str">
        <f t="shared" si="3"/>
        <v>Trial 2</v>
      </c>
      <c r="C219" t="s">
        <v>140</v>
      </c>
      <c r="D219" t="s">
        <v>321</v>
      </c>
      <c r="E219" t="s">
        <v>331</v>
      </c>
      <c r="F219" s="41">
        <v>0.2889737048494998</v>
      </c>
      <c r="G219" s="41">
        <v>2.580960744574647</v>
      </c>
      <c r="H219" s="41">
        <v>3.269383867453461</v>
      </c>
      <c r="I219" s="41">
        <v>2.222911673907678</v>
      </c>
      <c r="J219" s="51">
        <v>0.16</v>
      </c>
      <c r="K219" s="51">
        <v>0.92</v>
      </c>
      <c r="L219" s="55">
        <v>123.9</v>
      </c>
      <c r="M219" s="51">
        <v>0</v>
      </c>
      <c r="N219" s="51">
        <v>4.07</v>
      </c>
      <c r="O219" s="41">
        <v>2.4119999999999999</v>
      </c>
    </row>
    <row r="220" spans="1:15">
      <c r="A220" t="s">
        <v>280</v>
      </c>
      <c r="B220" t="str">
        <f t="shared" si="3"/>
        <v>Trial 2</v>
      </c>
      <c r="C220" t="s">
        <v>140</v>
      </c>
      <c r="D220" t="s">
        <v>321</v>
      </c>
      <c r="E220" t="s">
        <v>331</v>
      </c>
      <c r="F220" s="41">
        <v>0.33603225812061233</v>
      </c>
      <c r="G220" s="41">
        <v>3.5268790782480011</v>
      </c>
      <c r="H220" s="41">
        <v>3.3776858444963449</v>
      </c>
      <c r="I220" s="41">
        <v>2.4800726022278692</v>
      </c>
      <c r="J220" s="51">
        <v>0.89</v>
      </c>
      <c r="K220" s="51">
        <v>1.47</v>
      </c>
      <c r="L220" s="55">
        <v>126.2</v>
      </c>
      <c r="M220" s="51">
        <v>0</v>
      </c>
      <c r="N220" s="51">
        <v>3.84</v>
      </c>
      <c r="O220" s="41">
        <v>4.03</v>
      </c>
    </row>
    <row r="221" spans="1:15">
      <c r="A221" t="s">
        <v>281</v>
      </c>
      <c r="B221" t="str">
        <f t="shared" si="3"/>
        <v>Trial 2</v>
      </c>
      <c r="C221" t="s">
        <v>144</v>
      </c>
      <c r="D221" t="s">
        <v>322</v>
      </c>
      <c r="E221" t="s">
        <v>331</v>
      </c>
      <c r="F221" s="41">
        <v>0.36240909209476063</v>
      </c>
      <c r="G221" s="41">
        <v>3.778277128683174</v>
      </c>
      <c r="H221" s="41">
        <v>4.2682592072597334</v>
      </c>
      <c r="I221" s="41">
        <v>2.1067998668076724</v>
      </c>
      <c r="J221" s="51">
        <v>0.65</v>
      </c>
      <c r="K221" s="51">
        <v>0.95</v>
      </c>
      <c r="L221" s="55">
        <v>171.9</v>
      </c>
      <c r="M221" s="51">
        <v>0</v>
      </c>
      <c r="N221" s="51">
        <v>3.86</v>
      </c>
      <c r="O221" s="41">
        <v>3.3119999999999998</v>
      </c>
    </row>
    <row r="222" spans="1:15">
      <c r="A222" t="s">
        <v>282</v>
      </c>
      <c r="B222" t="str">
        <f t="shared" si="3"/>
        <v>Trial 2</v>
      </c>
      <c r="C222" t="s">
        <v>144</v>
      </c>
      <c r="D222" t="s">
        <v>322</v>
      </c>
      <c r="E222" t="s">
        <v>331</v>
      </c>
      <c r="F222" s="41">
        <v>0.2941437077536001</v>
      </c>
      <c r="G222" s="41">
        <v>3.8349493070935536</v>
      </c>
      <c r="H222" s="41">
        <v>3.9382924061722386</v>
      </c>
      <c r="I222" s="41">
        <v>2.2522190917275982</v>
      </c>
      <c r="J222" s="51">
        <v>0</v>
      </c>
      <c r="K222" s="51">
        <v>0.54</v>
      </c>
      <c r="L222" s="55">
        <v>153.30000000000001</v>
      </c>
      <c r="M222" s="51">
        <v>0</v>
      </c>
      <c r="N222" s="51">
        <v>3.91</v>
      </c>
      <c r="O222" s="41">
        <v>2.6829999999999998</v>
      </c>
    </row>
    <row r="223" spans="1:15">
      <c r="A223" t="s">
        <v>283</v>
      </c>
      <c r="B223" t="str">
        <f t="shared" si="3"/>
        <v>Trial 2</v>
      </c>
      <c r="C223" t="s">
        <v>144</v>
      </c>
      <c r="D223" t="s">
        <v>322</v>
      </c>
      <c r="E223" t="s">
        <v>331</v>
      </c>
      <c r="F223" s="41">
        <v>0.3134225674681636</v>
      </c>
      <c r="G223" s="41">
        <v>3.5278050575871158</v>
      </c>
      <c r="H223" s="41">
        <v>4.541859822424958</v>
      </c>
      <c r="I223" s="41">
        <v>1.8373439229966344</v>
      </c>
      <c r="J223" s="51">
        <v>0</v>
      </c>
      <c r="K223" s="51">
        <v>0.34</v>
      </c>
      <c r="L223" s="55">
        <v>188.1</v>
      </c>
      <c r="M223" s="51">
        <v>0</v>
      </c>
      <c r="N223" s="51">
        <v>3.89</v>
      </c>
      <c r="O223" s="41">
        <v>2.5059999999999998</v>
      </c>
    </row>
    <row r="224" spans="1:15">
      <c r="A224" t="s">
        <v>284</v>
      </c>
      <c r="B224" t="str">
        <f t="shared" si="3"/>
        <v>Trial 2</v>
      </c>
      <c r="C224" t="s">
        <v>148</v>
      </c>
      <c r="D224" t="s">
        <v>148</v>
      </c>
      <c r="E224" t="s">
        <v>331</v>
      </c>
      <c r="F224" s="41">
        <v>9.7067978554870968E-2</v>
      </c>
      <c r="G224" s="41">
        <v>1.5814077010496721</v>
      </c>
      <c r="H224" s="41">
        <v>2.3563054219220079</v>
      </c>
      <c r="I224" s="41">
        <v>1.5472387920586488</v>
      </c>
      <c r="J224" s="51">
        <v>0</v>
      </c>
      <c r="K224" s="51">
        <v>0.65</v>
      </c>
      <c r="L224" s="55">
        <v>132.9</v>
      </c>
      <c r="M224" s="51">
        <v>0</v>
      </c>
      <c r="N224" s="51">
        <v>3.82</v>
      </c>
      <c r="O224" s="41">
        <v>1.6140000000000001</v>
      </c>
    </row>
    <row r="225" spans="1:15">
      <c r="A225" t="s">
        <v>285</v>
      </c>
      <c r="B225" t="str">
        <f t="shared" si="3"/>
        <v>Trial 2</v>
      </c>
      <c r="C225" t="s">
        <v>148</v>
      </c>
      <c r="D225" t="s">
        <v>148</v>
      </c>
      <c r="E225" t="s">
        <v>331</v>
      </c>
      <c r="F225" s="41">
        <v>0.16245762882815201</v>
      </c>
      <c r="G225" s="41">
        <v>3.9690064439755925</v>
      </c>
      <c r="H225" s="41">
        <v>3.145214398891226</v>
      </c>
      <c r="I225" s="41">
        <v>1.2251359168416596</v>
      </c>
      <c r="J225" s="51">
        <v>0</v>
      </c>
      <c r="K225" s="51">
        <v>0.67</v>
      </c>
      <c r="L225" s="55">
        <v>107.9</v>
      </c>
      <c r="M225" s="51">
        <v>0</v>
      </c>
      <c r="N225" s="51">
        <v>3.73</v>
      </c>
      <c r="O225" s="41">
        <v>2.548</v>
      </c>
    </row>
    <row r="226" spans="1:15">
      <c r="A226" t="s">
        <v>286</v>
      </c>
      <c r="B226" t="str">
        <f t="shared" si="3"/>
        <v>Trial 2</v>
      </c>
      <c r="C226" t="s">
        <v>148</v>
      </c>
      <c r="D226" t="s">
        <v>148</v>
      </c>
      <c r="E226" t="s">
        <v>331</v>
      </c>
      <c r="F226" s="41">
        <v>0.23859883592528636</v>
      </c>
      <c r="G226" s="41">
        <v>2.7588368899056106</v>
      </c>
      <c r="H226" s="41">
        <v>3.724223154241233</v>
      </c>
      <c r="I226" s="41">
        <v>1.2795222449111845</v>
      </c>
      <c r="J226" s="51">
        <v>0</v>
      </c>
      <c r="K226" s="51">
        <v>0.59</v>
      </c>
      <c r="L226" s="55">
        <v>173.1</v>
      </c>
      <c r="M226" s="51">
        <v>0</v>
      </c>
      <c r="N226" s="51">
        <v>4.03</v>
      </c>
      <c r="O226" s="41">
        <v>2.1859999999999999</v>
      </c>
    </row>
    <row r="227" spans="1:15">
      <c r="A227" t="s">
        <v>287</v>
      </c>
      <c r="B227" t="str">
        <f t="shared" si="3"/>
        <v>Trial 2</v>
      </c>
      <c r="C227" t="s">
        <v>152</v>
      </c>
      <c r="D227" t="s">
        <v>323</v>
      </c>
      <c r="E227" t="s">
        <v>331</v>
      </c>
      <c r="F227" s="41">
        <v>0.21205891845738364</v>
      </c>
      <c r="G227" s="41">
        <v>2.4082137985240761</v>
      </c>
      <c r="H227" s="41">
        <v>3.5922074170138907</v>
      </c>
      <c r="I227" s="41">
        <v>2.3487190896593941</v>
      </c>
      <c r="J227" s="51">
        <v>0</v>
      </c>
      <c r="K227" s="51">
        <v>0.47</v>
      </c>
      <c r="L227" s="55">
        <v>141.9</v>
      </c>
      <c r="M227" s="51">
        <v>1.2</v>
      </c>
      <c r="N227" s="51">
        <v>4.04</v>
      </c>
      <c r="O227" s="41">
        <v>1.9079999999999999</v>
      </c>
    </row>
    <row r="228" spans="1:15">
      <c r="A228" t="s">
        <v>288</v>
      </c>
      <c r="B228" t="str">
        <f t="shared" si="3"/>
        <v>Trial 2</v>
      </c>
      <c r="C228" t="s">
        <v>152</v>
      </c>
      <c r="D228" t="s">
        <v>323</v>
      </c>
      <c r="E228" t="s">
        <v>331</v>
      </c>
      <c r="F228" s="41">
        <v>0.37875159508146261</v>
      </c>
      <c r="G228" s="41">
        <v>2.7473481243336817</v>
      </c>
      <c r="H228" s="41">
        <v>3.5986956571255408</v>
      </c>
      <c r="I228" s="41">
        <v>1.77031678678335</v>
      </c>
      <c r="J228" s="51">
        <v>0</v>
      </c>
      <c r="K228" s="51">
        <v>0.8</v>
      </c>
      <c r="L228" s="55">
        <v>109.6</v>
      </c>
      <c r="M228" s="51">
        <v>2.16</v>
      </c>
      <c r="N228" s="51">
        <v>3.87</v>
      </c>
      <c r="O228" s="41">
        <v>2.5510000000000002</v>
      </c>
    </row>
    <row r="229" spans="1:15">
      <c r="A229" t="s">
        <v>289</v>
      </c>
      <c r="B229" t="str">
        <f t="shared" si="3"/>
        <v>Trial 2</v>
      </c>
      <c r="C229" t="s">
        <v>152</v>
      </c>
      <c r="D229" t="s">
        <v>323</v>
      </c>
      <c r="E229" t="s">
        <v>331</v>
      </c>
      <c r="F229" s="41">
        <v>0.22763211135051101</v>
      </c>
      <c r="G229" s="41">
        <v>2.7767962965686914</v>
      </c>
      <c r="H229" s="41">
        <v>3.5564282185422318</v>
      </c>
      <c r="I229" s="41">
        <v>2.2295577490772365</v>
      </c>
      <c r="J229" s="51">
        <v>0</v>
      </c>
      <c r="K229" s="51">
        <v>0.6</v>
      </c>
      <c r="L229" s="55">
        <v>155.30000000000001</v>
      </c>
      <c r="M229" s="51">
        <v>2.12</v>
      </c>
      <c r="N229" s="51">
        <v>3.94</v>
      </c>
      <c r="O229" s="41">
        <v>2.3410000000000002</v>
      </c>
    </row>
    <row r="230" spans="1:15">
      <c r="A230" t="s">
        <v>290</v>
      </c>
      <c r="B230" t="str">
        <f t="shared" si="3"/>
        <v>Trial 2</v>
      </c>
      <c r="C230" t="s">
        <v>156</v>
      </c>
      <c r="D230" t="s">
        <v>156</v>
      </c>
      <c r="E230" t="s">
        <v>331</v>
      </c>
      <c r="F230" s="41">
        <v>0.33827529653994698</v>
      </c>
      <c r="G230" s="41">
        <v>4.6893606963535515</v>
      </c>
      <c r="H230" s="41">
        <v>3.2278791864630199</v>
      </c>
      <c r="I230" s="41">
        <v>2.2626346049110189</v>
      </c>
      <c r="J230" s="51">
        <v>2.72</v>
      </c>
      <c r="K230" s="51">
        <v>3.1</v>
      </c>
      <c r="L230" s="55">
        <v>108</v>
      </c>
      <c r="M230" s="51">
        <v>2.42</v>
      </c>
      <c r="N230" s="51">
        <v>3.59</v>
      </c>
      <c r="O230" s="41">
        <v>6.7130000000000001</v>
      </c>
    </row>
    <row r="231" spans="1:15">
      <c r="A231" t="s">
        <v>291</v>
      </c>
      <c r="B231" t="str">
        <f t="shared" si="3"/>
        <v>Trial 2</v>
      </c>
      <c r="C231" t="s">
        <v>156</v>
      </c>
      <c r="D231" t="s">
        <v>156</v>
      </c>
      <c r="E231" t="s">
        <v>331</v>
      </c>
      <c r="F231" s="41">
        <v>0.45957184692087111</v>
      </c>
      <c r="G231" s="41">
        <v>4.1970835926123229</v>
      </c>
      <c r="H231" s="41">
        <v>3.4943984241436779</v>
      </c>
      <c r="I231" s="41">
        <v>2.3369368012056246</v>
      </c>
      <c r="J231" s="51">
        <v>2.72</v>
      </c>
      <c r="K231" s="51">
        <v>2.9</v>
      </c>
      <c r="L231" s="55">
        <v>115.4</v>
      </c>
      <c r="M231" s="51">
        <v>2.41</v>
      </c>
      <c r="N231" s="51">
        <v>3.68</v>
      </c>
      <c r="O231" s="41">
        <v>5.7859999999999996</v>
      </c>
    </row>
    <row r="232" spans="1:15">
      <c r="A232" t="s">
        <v>292</v>
      </c>
      <c r="B232" t="str">
        <f t="shared" si="3"/>
        <v>Trial 2</v>
      </c>
      <c r="C232" t="s">
        <v>156</v>
      </c>
      <c r="D232" t="s">
        <v>156</v>
      </c>
      <c r="E232" t="s">
        <v>331</v>
      </c>
      <c r="F232" s="41">
        <v>0.44952300064864037</v>
      </c>
      <c r="G232" s="41">
        <v>4.3977541024704676</v>
      </c>
      <c r="H232" s="41">
        <v>4.1022618191746965</v>
      </c>
      <c r="I232" s="41">
        <v>2.1198818586810098</v>
      </c>
      <c r="J232" s="51">
        <v>2.42</v>
      </c>
      <c r="K232" s="51">
        <v>3.15</v>
      </c>
      <c r="L232" s="55">
        <v>145.80000000000001</v>
      </c>
      <c r="M232" s="51">
        <v>2.8</v>
      </c>
      <c r="N232" s="51">
        <v>3.63</v>
      </c>
      <c r="O232" s="41">
        <v>6.4980000000000002</v>
      </c>
    </row>
    <row r="233" spans="1:15">
      <c r="A233" t="s">
        <v>293</v>
      </c>
      <c r="B233" t="str">
        <f t="shared" si="3"/>
        <v>Trial 2</v>
      </c>
      <c r="C233" t="s">
        <v>160</v>
      </c>
      <c r="D233" t="s">
        <v>160</v>
      </c>
      <c r="E233" t="s">
        <v>331</v>
      </c>
      <c r="F233" s="41">
        <v>0.3128052409446847</v>
      </c>
      <c r="G233" s="41">
        <v>2.1978472062782077</v>
      </c>
      <c r="H233" s="41">
        <v>3.8753387683115519</v>
      </c>
      <c r="I233" s="41">
        <v>2.2833001873792687</v>
      </c>
      <c r="J233" s="51">
        <v>0</v>
      </c>
      <c r="K233" s="51">
        <v>0.63</v>
      </c>
      <c r="L233" s="55">
        <v>149.5</v>
      </c>
      <c r="M233" s="51">
        <v>4.29</v>
      </c>
      <c r="N233" s="51">
        <v>4.0599999999999996</v>
      </c>
      <c r="O233" s="41">
        <v>2.0219999999999998</v>
      </c>
    </row>
    <row r="234" spans="1:15">
      <c r="A234" t="s">
        <v>294</v>
      </c>
      <c r="B234" t="str">
        <f t="shared" si="3"/>
        <v>Trial 2</v>
      </c>
      <c r="C234" t="s">
        <v>160</v>
      </c>
      <c r="D234" t="s">
        <v>160</v>
      </c>
      <c r="E234" t="s">
        <v>331</v>
      </c>
      <c r="F234" s="41">
        <v>0.22905802462051059</v>
      </c>
      <c r="G234" s="41">
        <v>2.2912488304465692</v>
      </c>
      <c r="H234" s="41">
        <v>3.7661790890243774</v>
      </c>
      <c r="I234" s="41">
        <v>2.0687865227564468</v>
      </c>
      <c r="J234" s="51">
        <v>0</v>
      </c>
      <c r="K234" s="51">
        <v>0.64</v>
      </c>
      <c r="L234" s="55">
        <v>148.80000000000001</v>
      </c>
      <c r="M234" s="51">
        <v>4.16</v>
      </c>
      <c r="N234" s="51">
        <v>3.93</v>
      </c>
      <c r="O234" s="41">
        <v>1.903</v>
      </c>
    </row>
    <row r="235" spans="1:15">
      <c r="A235" t="s">
        <v>295</v>
      </c>
      <c r="B235" t="str">
        <f t="shared" si="3"/>
        <v>Trial 2</v>
      </c>
      <c r="C235" t="s">
        <v>160</v>
      </c>
      <c r="D235" t="s">
        <v>160</v>
      </c>
      <c r="E235" t="s">
        <v>331</v>
      </c>
      <c r="F235" s="41">
        <v>0.23437403421273667</v>
      </c>
      <c r="G235" s="41">
        <v>2.1429928096846376</v>
      </c>
      <c r="H235" s="41">
        <v>3.5583004417247288</v>
      </c>
      <c r="I235" s="41">
        <v>2.0868899605248825</v>
      </c>
      <c r="J235" s="51">
        <v>0</v>
      </c>
      <c r="K235" s="51">
        <v>0.71</v>
      </c>
      <c r="L235" s="55">
        <v>139.80000000000001</v>
      </c>
      <c r="M235" s="51">
        <v>5.12</v>
      </c>
      <c r="N235" s="51">
        <v>4.18</v>
      </c>
      <c r="O235" s="41">
        <v>1.9970000000000001</v>
      </c>
    </row>
    <row r="236" spans="1:15">
      <c r="A236" t="s">
        <v>296</v>
      </c>
      <c r="B236" t="str">
        <f t="shared" si="3"/>
        <v>Trial 2</v>
      </c>
      <c r="C236" t="s">
        <v>164</v>
      </c>
      <c r="D236" t="s">
        <v>327</v>
      </c>
      <c r="E236" t="s">
        <v>335</v>
      </c>
      <c r="F236" s="41">
        <v>0.71022690762004625</v>
      </c>
      <c r="G236" s="41">
        <v>3.756419423764302</v>
      </c>
      <c r="H236" s="41">
        <v>5.1986165125558026</v>
      </c>
      <c r="I236" s="41">
        <v>1.9770993027395427</v>
      </c>
      <c r="J236" s="51">
        <v>1.81</v>
      </c>
      <c r="K236" s="51">
        <v>0.57999999999999996</v>
      </c>
      <c r="L236" s="55">
        <v>190.6</v>
      </c>
      <c r="M236" s="58">
        <v>2.15</v>
      </c>
      <c r="N236" s="51">
        <v>3.59</v>
      </c>
      <c r="O236" s="41">
        <v>3.0030000000000001</v>
      </c>
    </row>
    <row r="237" spans="1:15">
      <c r="A237" t="s">
        <v>297</v>
      </c>
      <c r="B237" t="str">
        <f t="shared" si="3"/>
        <v>Trial 2</v>
      </c>
      <c r="C237" t="s">
        <v>164</v>
      </c>
      <c r="D237" t="s">
        <v>327</v>
      </c>
      <c r="E237" t="s">
        <v>335</v>
      </c>
      <c r="F237" s="41">
        <v>0.76638398293015031</v>
      </c>
      <c r="G237" s="41">
        <v>3.711956395082983</v>
      </c>
      <c r="H237" s="41">
        <v>4.9921705693781435</v>
      </c>
      <c r="I237" s="41">
        <v>1.8956546995796031</v>
      </c>
      <c r="J237" s="51">
        <v>1.62</v>
      </c>
      <c r="K237" s="51">
        <v>0.54</v>
      </c>
      <c r="L237" s="55">
        <v>219.7</v>
      </c>
      <c r="M237" s="58">
        <v>1.93</v>
      </c>
      <c r="N237" s="51">
        <v>3.45</v>
      </c>
      <c r="O237" s="41">
        <v>2.9350000000000001</v>
      </c>
    </row>
    <row r="238" spans="1:15">
      <c r="A238" t="s">
        <v>298</v>
      </c>
      <c r="B238" t="str">
        <f t="shared" si="3"/>
        <v>Trial 2</v>
      </c>
      <c r="C238" t="s">
        <v>164</v>
      </c>
      <c r="D238" t="s">
        <v>327</v>
      </c>
      <c r="E238" t="s">
        <v>335</v>
      </c>
      <c r="F238" s="41">
        <v>0.94797617246530297</v>
      </c>
      <c r="G238" s="41">
        <v>3.6613329871305953</v>
      </c>
      <c r="H238" s="41">
        <v>5.351431529207157</v>
      </c>
      <c r="I238" s="41">
        <v>1.3000179120241235</v>
      </c>
      <c r="J238" s="51">
        <v>1.36</v>
      </c>
      <c r="K238" s="51">
        <v>0.37</v>
      </c>
      <c r="L238" s="55">
        <v>198.1</v>
      </c>
      <c r="M238" s="58">
        <v>1.67</v>
      </c>
      <c r="N238" s="51">
        <v>3.51</v>
      </c>
      <c r="O238" s="41">
        <v>2.7959999999999998</v>
      </c>
    </row>
    <row r="239" spans="1:15">
      <c r="A239" t="s">
        <v>299</v>
      </c>
      <c r="B239" t="str">
        <f t="shared" si="3"/>
        <v>Trial 2</v>
      </c>
      <c r="C239" t="s">
        <v>168</v>
      </c>
      <c r="D239" t="s">
        <v>328</v>
      </c>
      <c r="E239" t="s">
        <v>335</v>
      </c>
      <c r="F239" s="41">
        <v>0.80276953268330176</v>
      </c>
      <c r="G239" s="41">
        <v>3.1852172667336474</v>
      </c>
      <c r="H239" s="41">
        <v>4.8414112644491096</v>
      </c>
      <c r="I239" s="41">
        <v>2.1906352088265426</v>
      </c>
      <c r="J239" s="51">
        <v>1.28</v>
      </c>
      <c r="K239" s="51">
        <v>0.42</v>
      </c>
      <c r="L239" s="55">
        <v>201.8</v>
      </c>
      <c r="M239" s="58">
        <v>1.51</v>
      </c>
      <c r="N239" s="51">
        <v>4.54</v>
      </c>
      <c r="O239" s="41">
        <v>2.5539999999999998</v>
      </c>
    </row>
    <row r="240" spans="1:15">
      <c r="A240" t="s">
        <v>300</v>
      </c>
      <c r="B240" t="str">
        <f t="shared" si="3"/>
        <v>Trial 2</v>
      </c>
      <c r="C240" t="s">
        <v>168</v>
      </c>
      <c r="D240" t="s">
        <v>328</v>
      </c>
      <c r="E240" t="s">
        <v>335</v>
      </c>
      <c r="F240" s="41">
        <v>0.72680080132301761</v>
      </c>
      <c r="G240" s="41">
        <v>3.2052497136472731</v>
      </c>
      <c r="H240" s="41">
        <v>4.5931576708315349</v>
      </c>
      <c r="I240" s="41">
        <v>2.2667483450922212</v>
      </c>
      <c r="J240" s="51">
        <v>1.68</v>
      </c>
      <c r="K240" s="51">
        <v>0.59</v>
      </c>
      <c r="L240" s="55">
        <v>185.1</v>
      </c>
      <c r="M240" s="58">
        <v>1.47</v>
      </c>
      <c r="N240" s="51">
        <v>3.52</v>
      </c>
      <c r="O240" s="41">
        <v>2.996</v>
      </c>
    </row>
    <row r="241" spans="1:15">
      <c r="A241" t="s">
        <v>301</v>
      </c>
      <c r="B241" t="str">
        <f t="shared" si="3"/>
        <v>Trial 2</v>
      </c>
      <c r="C241" t="s">
        <v>168</v>
      </c>
      <c r="D241" t="s">
        <v>328</v>
      </c>
      <c r="E241" t="s">
        <v>335</v>
      </c>
      <c r="F241" s="41">
        <v>0.75771323487215869</v>
      </c>
      <c r="G241" s="41">
        <v>3.6038421660864999</v>
      </c>
      <c r="H241" s="41">
        <v>4.4565493861394359</v>
      </c>
      <c r="I241" s="41">
        <v>2.5307878643313426</v>
      </c>
      <c r="J241" s="51">
        <v>1.34</v>
      </c>
      <c r="K241" s="51">
        <v>0.59</v>
      </c>
      <c r="L241" s="55">
        <v>164.6</v>
      </c>
      <c r="M241" s="58">
        <v>1.37</v>
      </c>
      <c r="N241" s="51">
        <v>3.41</v>
      </c>
      <c r="O241" s="41">
        <v>2.9649999999999999</v>
      </c>
    </row>
    <row r="242" spans="1:15">
      <c r="A242" t="s">
        <v>302</v>
      </c>
      <c r="B242" t="str">
        <f t="shared" si="3"/>
        <v>Trial 2</v>
      </c>
      <c r="C242" t="s">
        <v>172</v>
      </c>
      <c r="D242" t="s">
        <v>329</v>
      </c>
      <c r="E242" t="s">
        <v>335</v>
      </c>
      <c r="F242" s="41">
        <v>0.71948936699307364</v>
      </c>
      <c r="G242" s="41">
        <v>4.1864022553914575</v>
      </c>
      <c r="H242" s="41">
        <v>4.5031330725839318</v>
      </c>
      <c r="I242" s="41">
        <v>2.3171103621149176</v>
      </c>
      <c r="J242" s="51">
        <v>1.91</v>
      </c>
      <c r="K242" s="51">
        <v>0.63</v>
      </c>
      <c r="L242" s="55">
        <v>186</v>
      </c>
      <c r="M242" s="58">
        <v>2.14</v>
      </c>
      <c r="N242" s="51">
        <v>3.48</v>
      </c>
      <c r="O242" s="41">
        <v>3.2010000000000001</v>
      </c>
    </row>
    <row r="243" spans="1:15">
      <c r="A243" t="s">
        <v>303</v>
      </c>
      <c r="B243" t="str">
        <f t="shared" si="3"/>
        <v>Trial 2</v>
      </c>
      <c r="C243" t="s">
        <v>172</v>
      </c>
      <c r="D243" t="s">
        <v>329</v>
      </c>
      <c r="E243" t="s">
        <v>335</v>
      </c>
      <c r="F243" s="41">
        <v>0.62168367043504114</v>
      </c>
      <c r="G243" s="41">
        <v>3.7611401027480267</v>
      </c>
      <c r="H243" s="41">
        <v>4.0973172297439993</v>
      </c>
      <c r="I243" s="41">
        <v>2.3132872666204309</v>
      </c>
      <c r="J243" s="51">
        <v>1.62</v>
      </c>
      <c r="K243" s="51">
        <v>0.48</v>
      </c>
      <c r="L243" s="55">
        <v>165.6</v>
      </c>
      <c r="M243" s="58">
        <v>1.2</v>
      </c>
      <c r="N243" s="51">
        <v>3.4</v>
      </c>
      <c r="O243" s="41">
        <v>2.976</v>
      </c>
    </row>
    <row r="244" spans="1:15">
      <c r="A244" t="s">
        <v>304</v>
      </c>
      <c r="B244" t="str">
        <f t="shared" si="3"/>
        <v>Trial 2</v>
      </c>
      <c r="C244" t="s">
        <v>172</v>
      </c>
      <c r="D244" t="s">
        <v>329</v>
      </c>
      <c r="E244" t="s">
        <v>335</v>
      </c>
      <c r="F244" s="41">
        <v>0.7684314919250359</v>
      </c>
      <c r="G244" s="41">
        <v>3.7642128161951249</v>
      </c>
      <c r="H244" s="41">
        <v>4.4516592031943842</v>
      </c>
      <c r="I244" s="41">
        <v>1.6152228200097343</v>
      </c>
      <c r="J244" s="51">
        <v>1.08</v>
      </c>
      <c r="K244" s="51">
        <v>0.41</v>
      </c>
      <c r="L244" s="55">
        <v>177.1</v>
      </c>
      <c r="M244" s="58">
        <v>1.1000000000000001</v>
      </c>
      <c r="N244" s="51">
        <v>3.52</v>
      </c>
      <c r="O244" s="41">
        <v>2.657</v>
      </c>
    </row>
    <row r="245" spans="1:15">
      <c r="A245" t="s">
        <v>305</v>
      </c>
      <c r="B245" t="str">
        <f t="shared" si="3"/>
        <v>Trial 2</v>
      </c>
      <c r="C245" t="s">
        <v>176</v>
      </c>
      <c r="D245" t="s">
        <v>324</v>
      </c>
      <c r="E245" t="s">
        <v>336</v>
      </c>
      <c r="F245" s="41">
        <v>0.40266253832282117</v>
      </c>
      <c r="G245" s="41">
        <v>2.4743043723231377</v>
      </c>
      <c r="H245" s="41">
        <v>4.4018740684475111</v>
      </c>
      <c r="I245" s="41">
        <v>2.1149826326028895</v>
      </c>
      <c r="J245" s="51">
        <v>0</v>
      </c>
      <c r="K245" s="51">
        <v>0.26</v>
      </c>
      <c r="L245" s="55">
        <v>183.5</v>
      </c>
      <c r="M245" s="58">
        <v>1.08</v>
      </c>
      <c r="N245" s="51">
        <v>4.1100000000000003</v>
      </c>
      <c r="O245" s="41">
        <v>1.647</v>
      </c>
    </row>
    <row r="246" spans="1:15">
      <c r="A246" t="s">
        <v>306</v>
      </c>
      <c r="B246" t="str">
        <f t="shared" si="3"/>
        <v>Trial 2</v>
      </c>
      <c r="C246" t="s">
        <v>176</v>
      </c>
      <c r="D246" t="s">
        <v>324</v>
      </c>
      <c r="E246" t="s">
        <v>336</v>
      </c>
      <c r="F246" s="41" t="e">
        <v>#VALUE!</v>
      </c>
      <c r="G246" s="41" t="e">
        <v>#VALUE!</v>
      </c>
      <c r="H246" s="41" t="e">
        <v>#VALUE!</v>
      </c>
      <c r="I246" s="41" t="e">
        <v>#VALUE!</v>
      </c>
      <c r="J246" s="51">
        <v>0</v>
      </c>
      <c r="K246" s="51">
        <v>0.37</v>
      </c>
      <c r="L246" s="55">
        <v>176.5</v>
      </c>
      <c r="M246" s="58">
        <v>0.35</v>
      </c>
      <c r="N246" s="51">
        <v>4.08</v>
      </c>
      <c r="O246" s="41">
        <v>1.8080000000000001</v>
      </c>
    </row>
    <row r="247" spans="1:15">
      <c r="A247" t="s">
        <v>307</v>
      </c>
      <c r="B247" t="str">
        <f t="shared" si="3"/>
        <v>Trial 2</v>
      </c>
      <c r="C247" t="s">
        <v>176</v>
      </c>
      <c r="D247" t="s">
        <v>324</v>
      </c>
      <c r="E247" t="s">
        <v>336</v>
      </c>
      <c r="F247" s="41" t="e">
        <v>#VALUE!</v>
      </c>
      <c r="G247" s="41" t="e">
        <v>#VALUE!</v>
      </c>
      <c r="H247" s="41" t="e">
        <v>#VALUE!</v>
      </c>
      <c r="I247" s="41" t="e">
        <v>#VALUE!</v>
      </c>
      <c r="J247" s="51">
        <v>0</v>
      </c>
      <c r="K247" s="51">
        <v>0.34</v>
      </c>
      <c r="L247" s="55">
        <v>176</v>
      </c>
      <c r="M247" s="58">
        <v>0.39</v>
      </c>
      <c r="N247" s="51">
        <v>3.99</v>
      </c>
      <c r="O247" s="41">
        <v>1.641</v>
      </c>
    </row>
    <row r="248" spans="1:15">
      <c r="A248" t="s">
        <v>308</v>
      </c>
      <c r="B248" t="str">
        <f t="shared" si="3"/>
        <v>Trial 2</v>
      </c>
      <c r="C248" t="s">
        <v>180</v>
      </c>
      <c r="D248" t="s">
        <v>325</v>
      </c>
      <c r="E248" t="s">
        <v>336</v>
      </c>
      <c r="F248" s="41">
        <v>0.4294867846044424</v>
      </c>
      <c r="G248" s="41">
        <v>2.9640764189249249</v>
      </c>
      <c r="H248" s="41">
        <v>4.8629871697858613</v>
      </c>
      <c r="I248" s="41">
        <v>1.0062402246345139</v>
      </c>
      <c r="J248" s="51">
        <v>0</v>
      </c>
      <c r="K248" s="51">
        <v>0.41</v>
      </c>
      <c r="L248" s="55">
        <v>202.2</v>
      </c>
      <c r="M248" s="58">
        <v>0.44</v>
      </c>
      <c r="N248" s="51">
        <v>3.85</v>
      </c>
      <c r="O248" s="41">
        <v>1.74</v>
      </c>
    </row>
    <row r="249" spans="1:15">
      <c r="A249" t="s">
        <v>309</v>
      </c>
      <c r="B249" t="str">
        <f t="shared" si="3"/>
        <v>Trial 2</v>
      </c>
      <c r="C249" t="s">
        <v>180</v>
      </c>
      <c r="D249" t="s">
        <v>325</v>
      </c>
      <c r="E249" t="s">
        <v>336</v>
      </c>
      <c r="F249" s="41">
        <v>0.46688328125081519</v>
      </c>
      <c r="G249" s="41">
        <v>2.8925559962676615</v>
      </c>
      <c r="H249" s="41">
        <v>4.7676499382340776</v>
      </c>
      <c r="I249" s="41">
        <v>2.356678282618677</v>
      </c>
      <c r="J249" s="51">
        <v>0</v>
      </c>
      <c r="K249" s="51">
        <v>0.37</v>
      </c>
      <c r="L249" s="55">
        <v>203.7</v>
      </c>
      <c r="M249" s="58">
        <v>0.83</v>
      </c>
      <c r="N249" s="51">
        <v>4.07</v>
      </c>
      <c r="O249" s="41">
        <v>1.5249999999999999</v>
      </c>
    </row>
    <row r="250" spans="1:15">
      <c r="A250" t="s">
        <v>310</v>
      </c>
      <c r="B250" t="str">
        <f t="shared" si="3"/>
        <v>Trial 2</v>
      </c>
      <c r="C250" t="s">
        <v>180</v>
      </c>
      <c r="D250" t="s">
        <v>325</v>
      </c>
      <c r="E250" t="s">
        <v>336</v>
      </c>
      <c r="F250" s="41">
        <v>0.3819244655672821</v>
      </c>
      <c r="G250" s="41">
        <v>2.9130007015721739</v>
      </c>
      <c r="H250" s="41">
        <v>4.6832633454106887</v>
      </c>
      <c r="I250" s="41">
        <v>2.3063982423024898</v>
      </c>
      <c r="J250" s="51">
        <v>0</v>
      </c>
      <c r="K250" s="51">
        <v>0.33</v>
      </c>
      <c r="L250" s="55">
        <v>190.4</v>
      </c>
      <c r="M250" s="58">
        <v>0.7</v>
      </c>
      <c r="N250" s="51">
        <v>3.81</v>
      </c>
      <c r="O250" s="41">
        <v>1.633</v>
      </c>
    </row>
    <row r="251" spans="1:15">
      <c r="A251" t="s">
        <v>311</v>
      </c>
      <c r="B251" t="str">
        <f t="shared" si="3"/>
        <v>Trial 2</v>
      </c>
      <c r="C251" t="s">
        <v>184</v>
      </c>
      <c r="D251" t="s">
        <v>326</v>
      </c>
      <c r="E251" t="s">
        <v>336</v>
      </c>
      <c r="F251" s="41">
        <v>0.44845826181768861</v>
      </c>
      <c r="G251" s="41">
        <v>2.5716694443893733</v>
      </c>
      <c r="H251" s="41">
        <v>5.2283288544811031</v>
      </c>
      <c r="I251" s="41">
        <v>2.384441557385073</v>
      </c>
      <c r="J251" s="51">
        <v>0</v>
      </c>
      <c r="K251" s="51">
        <v>0.35</v>
      </c>
      <c r="L251" s="55">
        <v>204.6</v>
      </c>
      <c r="M251" s="58">
        <v>7.0000000000000007E-2</v>
      </c>
      <c r="N251" s="51">
        <v>3.93</v>
      </c>
      <c r="O251" s="41">
        <v>1.583</v>
      </c>
    </row>
    <row r="252" spans="1:15">
      <c r="A252" t="s">
        <v>312</v>
      </c>
      <c r="B252" t="str">
        <f t="shared" si="3"/>
        <v>Trial 2</v>
      </c>
      <c r="C252" t="s">
        <v>184</v>
      </c>
      <c r="D252" t="s">
        <v>326</v>
      </c>
      <c r="E252" t="s">
        <v>336</v>
      </c>
      <c r="F252" s="41">
        <v>0.49393550288757998</v>
      </c>
      <c r="G252" s="41">
        <v>2.9101063486206145</v>
      </c>
      <c r="H252" s="41">
        <v>5.1123544961684075</v>
      </c>
      <c r="I252" s="41">
        <v>2.6682881394024545</v>
      </c>
      <c r="J252" s="51">
        <v>0</v>
      </c>
      <c r="K252" s="51">
        <v>0.34</v>
      </c>
      <c r="L252" s="55">
        <v>221.7</v>
      </c>
      <c r="M252" s="58">
        <v>0.05</v>
      </c>
      <c r="N252" s="51">
        <v>3.96</v>
      </c>
      <c r="O252" s="41">
        <v>2.004</v>
      </c>
    </row>
    <row r="253" spans="1:15">
      <c r="A253" t="s">
        <v>313</v>
      </c>
      <c r="B253" t="str">
        <f t="shared" si="3"/>
        <v>Trial 2</v>
      </c>
      <c r="C253" t="s">
        <v>184</v>
      </c>
      <c r="D253" t="s">
        <v>326</v>
      </c>
      <c r="E253" t="s">
        <v>336</v>
      </c>
      <c r="F253" s="41">
        <v>0.48979437752261112</v>
      </c>
      <c r="G253" s="41">
        <v>3.0559673190158034</v>
      </c>
      <c r="H253" s="41">
        <v>4.9025054806533328</v>
      </c>
      <c r="I253" s="41">
        <v>3.1565563082285557</v>
      </c>
      <c r="J253" s="51">
        <v>0</v>
      </c>
      <c r="K253" s="51">
        <v>0.43</v>
      </c>
      <c r="L253" s="55">
        <v>203.8</v>
      </c>
      <c r="M253" s="58">
        <v>0</v>
      </c>
      <c r="N253" s="51">
        <v>4.0199999999999996</v>
      </c>
      <c r="O253" s="41">
        <v>1.915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1"/>
  <sheetViews>
    <sheetView workbookViewId="0">
      <selection activeCell="C379" sqref="C379"/>
    </sheetView>
  </sheetViews>
  <sheetFormatPr defaultRowHeight="15"/>
  <cols>
    <col min="1" max="1" width="13.6640625" bestFit="1" customWidth="1"/>
    <col min="2" max="2" width="5.77734375" bestFit="1" customWidth="1"/>
    <col min="3" max="3" width="32.109375" bestFit="1" customWidth="1"/>
    <col min="4" max="4" width="36.21875" bestFit="1" customWidth="1"/>
    <col min="5" max="5" width="30.109375" bestFit="1" customWidth="1"/>
    <col min="6" max="9" width="9.77734375" bestFit="1" customWidth="1"/>
    <col min="10" max="11" width="9.44140625" bestFit="1" customWidth="1"/>
    <col min="12" max="12" width="11.44140625" bestFit="1" customWidth="1"/>
    <col min="13" max="14" width="9.44140625" bestFit="1" customWidth="1"/>
    <col min="15" max="15" width="10.44140625" bestFit="1" customWidth="1"/>
  </cols>
  <sheetData>
    <row r="1" spans="1:15">
      <c r="A1" t="s">
        <v>8</v>
      </c>
      <c r="B1" t="s">
        <v>337</v>
      </c>
      <c r="C1" t="s">
        <v>9</v>
      </c>
      <c r="D1" t="s">
        <v>342</v>
      </c>
      <c r="E1" t="s">
        <v>330</v>
      </c>
      <c r="F1" t="s">
        <v>1</v>
      </c>
      <c r="G1" t="s">
        <v>2</v>
      </c>
      <c r="H1" t="s">
        <v>3</v>
      </c>
      <c r="I1" t="s">
        <v>4</v>
      </c>
      <c r="J1" t="s">
        <v>314</v>
      </c>
      <c r="K1" t="s">
        <v>7</v>
      </c>
      <c r="L1" t="s">
        <v>315</v>
      </c>
      <c r="M1" t="s">
        <v>316</v>
      </c>
      <c r="N1" t="s">
        <v>340</v>
      </c>
      <c r="O1" t="s">
        <v>341</v>
      </c>
    </row>
    <row r="2" spans="1:15">
      <c r="A2" t="s">
        <v>19</v>
      </c>
      <c r="B2" t="s">
        <v>338</v>
      </c>
      <c r="C2" t="s">
        <v>20</v>
      </c>
      <c r="D2" t="s">
        <v>320</v>
      </c>
      <c r="E2" t="s">
        <v>332</v>
      </c>
      <c r="F2" s="41">
        <v>0.45</v>
      </c>
      <c r="G2" s="41">
        <v>3.1120000000000001</v>
      </c>
      <c r="H2" s="41">
        <v>2.3210000000000002</v>
      </c>
      <c r="I2" s="41">
        <v>0</v>
      </c>
      <c r="J2" s="41">
        <v>1.57</v>
      </c>
      <c r="K2" s="41">
        <v>4.2699999999999996</v>
      </c>
      <c r="L2" s="41">
        <v>156.69999999999999</v>
      </c>
      <c r="M2" s="41">
        <v>0.76</v>
      </c>
      <c r="N2" s="41">
        <v>3.74</v>
      </c>
      <c r="O2" s="41">
        <v>8.5310000000000006</v>
      </c>
    </row>
    <row r="3" spans="1:15">
      <c r="A3" t="s">
        <v>21</v>
      </c>
      <c r="B3" t="s">
        <v>338</v>
      </c>
      <c r="C3" t="s">
        <v>20</v>
      </c>
      <c r="D3" t="s">
        <v>320</v>
      </c>
      <c r="E3" t="s">
        <v>332</v>
      </c>
      <c r="F3" s="41">
        <v>0.39400000000000002</v>
      </c>
      <c r="G3" s="41">
        <v>3.0379999999999998</v>
      </c>
      <c r="H3" s="41">
        <v>2.2650000000000001</v>
      </c>
      <c r="I3" s="41">
        <v>0</v>
      </c>
      <c r="J3" s="41">
        <v>2.72</v>
      </c>
      <c r="K3" s="41">
        <v>5.23</v>
      </c>
      <c r="L3" s="41">
        <v>165.2</v>
      </c>
      <c r="M3" s="41">
        <v>0.49</v>
      </c>
      <c r="N3" s="41">
        <v>3.64</v>
      </c>
      <c r="O3" s="41">
        <v>7.1109999999999998</v>
      </c>
    </row>
    <row r="4" spans="1:15">
      <c r="A4" t="s">
        <v>22</v>
      </c>
      <c r="B4" t="s">
        <v>338</v>
      </c>
      <c r="C4" t="s">
        <v>20</v>
      </c>
      <c r="D4" t="s">
        <v>320</v>
      </c>
      <c r="E4" t="s">
        <v>332</v>
      </c>
      <c r="F4" s="41">
        <v>0.47</v>
      </c>
      <c r="G4" s="41">
        <v>2.9430000000000001</v>
      </c>
      <c r="H4" s="41">
        <v>2.1949999999999998</v>
      </c>
      <c r="I4" s="41">
        <v>0</v>
      </c>
      <c r="J4" s="41">
        <v>1.77</v>
      </c>
      <c r="K4" s="41">
        <v>4.54</v>
      </c>
      <c r="L4" s="41">
        <v>168.6</v>
      </c>
      <c r="M4" s="41">
        <v>1.08</v>
      </c>
      <c r="N4" s="41">
        <v>3.71</v>
      </c>
      <c r="O4" s="41">
        <v>7.0049999999999999</v>
      </c>
    </row>
    <row r="5" spans="1:15">
      <c r="A5" t="s">
        <v>23</v>
      </c>
      <c r="B5" t="s">
        <v>338</v>
      </c>
      <c r="C5" t="s">
        <v>24</v>
      </c>
      <c r="D5" t="s">
        <v>132</v>
      </c>
      <c r="E5" t="s">
        <v>332</v>
      </c>
      <c r="F5" s="41">
        <v>0.36899999999999999</v>
      </c>
      <c r="G5" s="41">
        <v>2.6379999999999999</v>
      </c>
      <c r="H5" s="41">
        <v>1.93</v>
      </c>
      <c r="I5" s="41">
        <v>0.47199999999999998</v>
      </c>
      <c r="J5" s="41">
        <v>1.01</v>
      </c>
      <c r="K5" s="41">
        <v>3.79</v>
      </c>
      <c r="L5" s="41">
        <v>151.80000000000001</v>
      </c>
      <c r="M5" s="41">
        <v>1.23</v>
      </c>
      <c r="N5" s="41">
        <v>3.67</v>
      </c>
      <c r="O5" s="41">
        <v>5.1429999999999998</v>
      </c>
    </row>
    <row r="6" spans="1:15">
      <c r="A6" t="s">
        <v>25</v>
      </c>
      <c r="B6" t="s">
        <v>338</v>
      </c>
      <c r="C6" t="s">
        <v>24</v>
      </c>
      <c r="D6" t="s">
        <v>132</v>
      </c>
      <c r="E6" t="s">
        <v>332</v>
      </c>
      <c r="F6" s="41">
        <v>0.42799999999999999</v>
      </c>
      <c r="G6" s="41">
        <v>3.0049999999999999</v>
      </c>
      <c r="H6" s="41">
        <v>2.1589999999999998</v>
      </c>
      <c r="I6" s="41">
        <v>0</v>
      </c>
      <c r="J6" s="41">
        <v>2.54</v>
      </c>
      <c r="K6" s="41">
        <v>4.59</v>
      </c>
      <c r="L6" s="41">
        <v>157.9</v>
      </c>
      <c r="M6" s="41">
        <v>0.64</v>
      </c>
      <c r="N6" s="41">
        <v>3.57</v>
      </c>
      <c r="O6" s="41">
        <v>6.4960000000000004</v>
      </c>
    </row>
    <row r="7" spans="1:15">
      <c r="A7" t="s">
        <v>26</v>
      </c>
      <c r="B7" t="s">
        <v>338</v>
      </c>
      <c r="C7" t="s">
        <v>24</v>
      </c>
      <c r="D7" t="s">
        <v>132</v>
      </c>
      <c r="E7" t="s">
        <v>332</v>
      </c>
      <c r="F7" s="41">
        <v>0.41</v>
      </c>
      <c r="G7" s="41">
        <v>3.177</v>
      </c>
      <c r="H7" s="41">
        <v>2.093</v>
      </c>
      <c r="I7" s="41">
        <v>0</v>
      </c>
      <c r="J7" s="41">
        <v>2.76</v>
      </c>
      <c r="K7" s="41">
        <v>4.91</v>
      </c>
      <c r="L7" s="41">
        <v>148.1</v>
      </c>
      <c r="M7" s="41">
        <v>1.04</v>
      </c>
      <c r="N7" s="41">
        <v>3.55</v>
      </c>
      <c r="O7" s="41">
        <v>6.9219999999999997</v>
      </c>
    </row>
    <row r="8" spans="1:15">
      <c r="A8" t="s">
        <v>27</v>
      </c>
      <c r="B8" t="s">
        <v>338</v>
      </c>
      <c r="C8" t="s">
        <v>28</v>
      </c>
      <c r="D8" t="s">
        <v>136</v>
      </c>
      <c r="E8" t="s">
        <v>332</v>
      </c>
      <c r="F8" s="41">
        <v>0.41299999999999998</v>
      </c>
      <c r="G8" s="41">
        <v>3.43</v>
      </c>
      <c r="H8" s="41">
        <v>2.0179999999999998</v>
      </c>
      <c r="I8" s="41">
        <v>0.63900000000000001</v>
      </c>
      <c r="J8" s="41">
        <v>3.65</v>
      </c>
      <c r="K8" s="41">
        <v>4.9000000000000004</v>
      </c>
      <c r="L8" s="41">
        <v>141.6</v>
      </c>
      <c r="M8" s="41">
        <v>1.47</v>
      </c>
      <c r="N8" s="41">
        <v>3.56</v>
      </c>
      <c r="O8" s="41">
        <v>6.63</v>
      </c>
    </row>
    <row r="9" spans="1:15">
      <c r="A9" t="s">
        <v>29</v>
      </c>
      <c r="B9" t="s">
        <v>338</v>
      </c>
      <c r="C9" t="s">
        <v>28</v>
      </c>
      <c r="D9" t="s">
        <v>136</v>
      </c>
      <c r="E9" t="s">
        <v>332</v>
      </c>
      <c r="F9" s="41">
        <v>0.36099999999999999</v>
      </c>
      <c r="G9" s="41">
        <v>2.9750000000000001</v>
      </c>
      <c r="H9" s="41">
        <v>2.0510000000000002</v>
      </c>
      <c r="I9" s="41">
        <v>0.56799999999999995</v>
      </c>
      <c r="J9" s="41">
        <v>2.1</v>
      </c>
      <c r="K9" s="41">
        <v>3.97</v>
      </c>
      <c r="L9" s="41">
        <v>148.4</v>
      </c>
      <c r="M9" s="41">
        <v>0.46</v>
      </c>
      <c r="N9" s="41">
        <v>3.63</v>
      </c>
      <c r="O9" s="41">
        <v>5.4109999999999996</v>
      </c>
    </row>
    <row r="10" spans="1:15">
      <c r="A10" t="s">
        <v>30</v>
      </c>
      <c r="B10" t="s">
        <v>338</v>
      </c>
      <c r="C10" t="s">
        <v>28</v>
      </c>
      <c r="D10" t="s">
        <v>136</v>
      </c>
      <c r="E10" t="s">
        <v>332</v>
      </c>
      <c r="F10" s="41">
        <v>0.38700000000000001</v>
      </c>
      <c r="G10" s="41">
        <v>3.0059999999999998</v>
      </c>
      <c r="H10" s="41">
        <v>1.9810000000000001</v>
      </c>
      <c r="I10" s="41">
        <v>0.56899999999999995</v>
      </c>
      <c r="J10" s="41">
        <v>2.09</v>
      </c>
      <c r="K10" s="41">
        <v>4.42</v>
      </c>
      <c r="L10" s="41">
        <v>139.80000000000001</v>
      </c>
      <c r="M10" s="41">
        <v>1.93</v>
      </c>
      <c r="N10" s="41">
        <v>3.72</v>
      </c>
      <c r="O10" s="41">
        <v>5.4139999999999997</v>
      </c>
    </row>
    <row r="11" spans="1:15">
      <c r="A11" t="s">
        <v>31</v>
      </c>
      <c r="B11" t="s">
        <v>338</v>
      </c>
      <c r="C11" t="s">
        <v>32</v>
      </c>
      <c r="D11" t="s">
        <v>321</v>
      </c>
      <c r="E11" t="s">
        <v>332</v>
      </c>
      <c r="F11" s="41">
        <v>0.40699999999999997</v>
      </c>
      <c r="G11" s="41">
        <v>2.8479999999999999</v>
      </c>
      <c r="H11" s="41">
        <v>2.1560000000000001</v>
      </c>
      <c r="I11" s="41">
        <v>0.47799999999999998</v>
      </c>
      <c r="J11" s="41">
        <v>1.77</v>
      </c>
      <c r="K11" s="41">
        <v>3.77</v>
      </c>
      <c r="L11" s="41">
        <v>149.30000000000001</v>
      </c>
      <c r="M11" s="41">
        <v>0.92</v>
      </c>
      <c r="N11" s="41">
        <v>3.66</v>
      </c>
      <c r="O11" s="41">
        <v>6.9169999999999998</v>
      </c>
    </row>
    <row r="12" spans="1:15">
      <c r="A12" t="s">
        <v>33</v>
      </c>
      <c r="B12" t="s">
        <v>338</v>
      </c>
      <c r="C12" t="s">
        <v>32</v>
      </c>
      <c r="D12" t="s">
        <v>321</v>
      </c>
      <c r="E12" t="s">
        <v>332</v>
      </c>
      <c r="F12" s="41">
        <v>0.42299999999999999</v>
      </c>
      <c r="G12" s="41">
        <v>3.5230000000000001</v>
      </c>
      <c r="H12" s="41">
        <v>2.2410000000000001</v>
      </c>
      <c r="I12" s="41">
        <v>0.64600000000000002</v>
      </c>
      <c r="J12" s="41">
        <v>4.6399999999999997</v>
      </c>
      <c r="K12" s="41">
        <v>5.3</v>
      </c>
      <c r="L12" s="41">
        <v>150.6</v>
      </c>
      <c r="M12" s="41">
        <v>1.41</v>
      </c>
      <c r="N12" s="41">
        <v>3.41</v>
      </c>
      <c r="O12" s="41">
        <v>9.8640000000000008</v>
      </c>
    </row>
    <row r="13" spans="1:15">
      <c r="A13" t="s">
        <v>34</v>
      </c>
      <c r="B13" t="s">
        <v>338</v>
      </c>
      <c r="C13" t="s">
        <v>32</v>
      </c>
      <c r="D13" t="s">
        <v>321</v>
      </c>
      <c r="E13" t="s">
        <v>332</v>
      </c>
      <c r="F13" s="41">
        <v>0.438</v>
      </c>
      <c r="G13" s="41">
        <v>3.3420000000000001</v>
      </c>
      <c r="H13" s="41">
        <v>2.2410000000000001</v>
      </c>
      <c r="I13" s="41">
        <v>0.63900000000000001</v>
      </c>
      <c r="J13" s="41">
        <v>2.84</v>
      </c>
      <c r="K13" s="41">
        <v>4.8600000000000003</v>
      </c>
      <c r="L13" s="41">
        <v>160.4</v>
      </c>
      <c r="M13" s="41">
        <v>1.72</v>
      </c>
      <c r="N13" s="41">
        <v>3.46</v>
      </c>
      <c r="O13" s="41">
        <v>8.5960000000000001</v>
      </c>
    </row>
    <row r="14" spans="1:15">
      <c r="A14" t="s">
        <v>35</v>
      </c>
      <c r="B14" t="s">
        <v>338</v>
      </c>
      <c r="C14" t="s">
        <v>36</v>
      </c>
      <c r="D14" t="s">
        <v>322</v>
      </c>
      <c r="E14" t="s">
        <v>332</v>
      </c>
      <c r="F14" s="41">
        <v>0.34799999999999998</v>
      </c>
      <c r="G14" s="41">
        <v>3.157</v>
      </c>
      <c r="H14" s="41">
        <v>2.0630000000000002</v>
      </c>
      <c r="I14" s="41">
        <v>0</v>
      </c>
      <c r="J14" s="41">
        <v>3.21</v>
      </c>
      <c r="K14" s="41">
        <v>4.38</v>
      </c>
      <c r="L14" s="41">
        <v>149.1</v>
      </c>
      <c r="M14" s="41">
        <v>1.57</v>
      </c>
      <c r="N14" s="41">
        <v>3.22</v>
      </c>
      <c r="O14" s="41">
        <v>8.7949999999999999</v>
      </c>
    </row>
    <row r="15" spans="1:15">
      <c r="A15" t="s">
        <v>37</v>
      </c>
      <c r="B15" t="s">
        <v>338</v>
      </c>
      <c r="C15" t="s">
        <v>36</v>
      </c>
      <c r="D15" t="s">
        <v>322</v>
      </c>
      <c r="E15" t="s">
        <v>332</v>
      </c>
      <c r="F15" s="41">
        <v>0.33100000000000002</v>
      </c>
      <c r="G15" s="41">
        <v>2.73</v>
      </c>
      <c r="H15" s="41">
        <v>1.9870000000000001</v>
      </c>
      <c r="I15" s="41">
        <v>0</v>
      </c>
      <c r="J15" s="41">
        <v>1.44</v>
      </c>
      <c r="K15" s="41">
        <v>3.63</v>
      </c>
      <c r="L15" s="41">
        <v>153.19999999999999</v>
      </c>
      <c r="M15" s="41">
        <v>1.26</v>
      </c>
      <c r="N15" s="41">
        <v>3.34</v>
      </c>
      <c r="O15" s="41">
        <v>7.306</v>
      </c>
    </row>
    <row r="16" spans="1:15">
      <c r="A16" t="s">
        <v>38</v>
      </c>
      <c r="B16" t="s">
        <v>338</v>
      </c>
      <c r="C16" t="s">
        <v>36</v>
      </c>
      <c r="D16" t="s">
        <v>322</v>
      </c>
      <c r="E16" t="s">
        <v>332</v>
      </c>
      <c r="F16" s="41">
        <v>0.32300000000000001</v>
      </c>
      <c r="G16" s="41">
        <v>2.847</v>
      </c>
      <c r="H16" s="41">
        <v>1.8720000000000001</v>
      </c>
      <c r="I16" s="41">
        <v>0</v>
      </c>
      <c r="J16" s="41">
        <v>1.46</v>
      </c>
      <c r="K16" s="41">
        <v>3.91</v>
      </c>
      <c r="L16" s="41">
        <v>142.80000000000001</v>
      </c>
      <c r="M16" s="41">
        <v>1.1599999999999999</v>
      </c>
      <c r="N16" s="41">
        <v>3.42</v>
      </c>
      <c r="O16" s="41">
        <v>7.5789999999999997</v>
      </c>
    </row>
    <row r="17" spans="1:15">
      <c r="A17" t="s">
        <v>39</v>
      </c>
      <c r="B17" t="s">
        <v>338</v>
      </c>
      <c r="C17" t="s">
        <v>40</v>
      </c>
      <c r="D17" t="s">
        <v>148</v>
      </c>
      <c r="E17" t="s">
        <v>332</v>
      </c>
      <c r="F17" s="41">
        <v>0.26300000000000001</v>
      </c>
      <c r="G17" s="41">
        <v>2.0720000000000001</v>
      </c>
      <c r="H17" s="41">
        <v>1.6839999999999999</v>
      </c>
      <c r="I17" s="41">
        <v>0.44600000000000001</v>
      </c>
      <c r="J17" s="41">
        <v>0.4</v>
      </c>
      <c r="K17" s="41">
        <v>1.54</v>
      </c>
      <c r="L17" s="41">
        <v>139</v>
      </c>
      <c r="M17" s="41">
        <v>2.08</v>
      </c>
      <c r="N17" s="41">
        <v>3.47</v>
      </c>
      <c r="O17" s="41">
        <v>4.234</v>
      </c>
    </row>
    <row r="18" spans="1:15">
      <c r="A18" t="s">
        <v>41</v>
      </c>
      <c r="B18" t="s">
        <v>338</v>
      </c>
      <c r="C18" t="s">
        <v>40</v>
      </c>
      <c r="D18" t="s">
        <v>148</v>
      </c>
      <c r="E18" t="s">
        <v>332</v>
      </c>
      <c r="F18" s="41">
        <v>0.39600000000000002</v>
      </c>
      <c r="G18" s="41">
        <v>2.1869999999999998</v>
      </c>
      <c r="H18" s="41">
        <v>1.619</v>
      </c>
      <c r="I18" s="41">
        <v>0.439</v>
      </c>
      <c r="J18" s="41">
        <v>0.51</v>
      </c>
      <c r="K18" s="41">
        <v>1.34</v>
      </c>
      <c r="L18" s="41">
        <v>128.1</v>
      </c>
      <c r="M18" s="41">
        <v>2.25</v>
      </c>
      <c r="N18" s="41">
        <v>3.28</v>
      </c>
      <c r="O18" s="41">
        <v>4.2549999999999999</v>
      </c>
    </row>
    <row r="19" spans="1:15">
      <c r="A19" t="s">
        <v>42</v>
      </c>
      <c r="B19" t="s">
        <v>338</v>
      </c>
      <c r="C19" t="s">
        <v>40</v>
      </c>
      <c r="D19" t="s">
        <v>148</v>
      </c>
      <c r="E19" t="s">
        <v>332</v>
      </c>
      <c r="F19" s="41">
        <v>0.315</v>
      </c>
      <c r="G19" s="41">
        <v>2.0209999999999999</v>
      </c>
      <c r="H19" s="41">
        <v>1.9330000000000001</v>
      </c>
      <c r="I19" s="41">
        <v>0.45800000000000002</v>
      </c>
      <c r="J19" s="41">
        <v>0.48</v>
      </c>
      <c r="K19" s="41">
        <v>1.32</v>
      </c>
      <c r="L19" s="41">
        <v>120.8</v>
      </c>
      <c r="M19" s="41">
        <v>2.2400000000000002</v>
      </c>
      <c r="N19" s="41">
        <v>3.47</v>
      </c>
      <c r="O19" s="41">
        <v>3.7349999999999999</v>
      </c>
    </row>
    <row r="20" spans="1:15">
      <c r="A20" t="s">
        <v>43</v>
      </c>
      <c r="B20" t="s">
        <v>338</v>
      </c>
      <c r="C20" t="s">
        <v>44</v>
      </c>
      <c r="D20" t="s">
        <v>323</v>
      </c>
      <c r="E20" t="s">
        <v>332</v>
      </c>
      <c r="F20" s="41">
        <v>0.27400000000000002</v>
      </c>
      <c r="G20" s="41">
        <v>2.008</v>
      </c>
      <c r="H20" s="41">
        <v>1.806</v>
      </c>
      <c r="I20" s="41">
        <v>0.36199999999999999</v>
      </c>
      <c r="J20" s="41">
        <v>0.27</v>
      </c>
      <c r="K20" s="41">
        <v>1.74</v>
      </c>
      <c r="L20" s="41">
        <v>144.5</v>
      </c>
      <c r="M20" s="41">
        <v>1.28</v>
      </c>
      <c r="N20" s="41">
        <v>3.55</v>
      </c>
      <c r="O20" s="41">
        <v>4.3419999999999996</v>
      </c>
    </row>
    <row r="21" spans="1:15">
      <c r="A21" t="s">
        <v>45</v>
      </c>
      <c r="B21" t="s">
        <v>338</v>
      </c>
      <c r="C21" t="s">
        <v>44</v>
      </c>
      <c r="D21" t="s">
        <v>323</v>
      </c>
      <c r="E21" t="s">
        <v>332</v>
      </c>
      <c r="F21" s="41">
        <v>0.315</v>
      </c>
      <c r="G21" s="41">
        <v>2.081</v>
      </c>
      <c r="H21" s="41">
        <v>1.7270000000000001</v>
      </c>
      <c r="I21" s="41">
        <v>0.54700000000000004</v>
      </c>
      <c r="J21" s="41">
        <v>0.28000000000000003</v>
      </c>
      <c r="K21" s="41">
        <v>2.1800000000000002</v>
      </c>
      <c r="L21" s="41">
        <v>129.6</v>
      </c>
      <c r="M21" s="41">
        <v>1.23</v>
      </c>
      <c r="N21" s="41">
        <v>3.57</v>
      </c>
      <c r="O21" s="41">
        <v>4.766</v>
      </c>
    </row>
    <row r="22" spans="1:15">
      <c r="A22" t="s">
        <v>46</v>
      </c>
      <c r="B22" t="s">
        <v>338</v>
      </c>
      <c r="C22" t="s">
        <v>44</v>
      </c>
      <c r="D22" t="s">
        <v>323</v>
      </c>
      <c r="E22" t="s">
        <v>332</v>
      </c>
      <c r="F22" s="41">
        <v>0.34799999999999998</v>
      </c>
      <c r="G22" s="41">
        <v>2.1920000000000002</v>
      </c>
      <c r="H22" s="41">
        <v>1.8939999999999999</v>
      </c>
      <c r="I22" s="41">
        <v>0.47</v>
      </c>
      <c r="J22" s="41">
        <v>0.55000000000000004</v>
      </c>
      <c r="K22" s="41">
        <v>2.2200000000000002</v>
      </c>
      <c r="L22" s="41">
        <v>146</v>
      </c>
      <c r="M22" s="41">
        <v>1.98</v>
      </c>
      <c r="N22" s="41">
        <v>3.46</v>
      </c>
      <c r="O22" s="41">
        <v>4.9610000000000003</v>
      </c>
    </row>
    <row r="23" spans="1:15">
      <c r="A23" t="s">
        <v>47</v>
      </c>
      <c r="B23" t="s">
        <v>338</v>
      </c>
      <c r="C23" t="s">
        <v>48</v>
      </c>
      <c r="D23" t="s">
        <v>156</v>
      </c>
      <c r="E23" t="s">
        <v>332</v>
      </c>
      <c r="F23" s="41">
        <v>0.33800000000000002</v>
      </c>
      <c r="G23" s="41">
        <v>2.1419999999999999</v>
      </c>
      <c r="H23" s="41">
        <v>1.897</v>
      </c>
      <c r="I23" s="41">
        <v>0.47199999999999998</v>
      </c>
      <c r="J23" s="41">
        <v>0.3</v>
      </c>
      <c r="K23" s="41">
        <v>2.14</v>
      </c>
      <c r="L23" s="41">
        <v>148.4</v>
      </c>
      <c r="M23" s="41">
        <v>2.31</v>
      </c>
      <c r="N23" s="41">
        <v>3.57</v>
      </c>
      <c r="O23" s="41">
        <v>4.585</v>
      </c>
    </row>
    <row r="24" spans="1:15">
      <c r="A24" t="s">
        <v>49</v>
      </c>
      <c r="B24" t="s">
        <v>338</v>
      </c>
      <c r="C24" t="s">
        <v>48</v>
      </c>
      <c r="D24" t="s">
        <v>156</v>
      </c>
      <c r="E24" t="s">
        <v>332</v>
      </c>
      <c r="F24" s="41">
        <v>0.309</v>
      </c>
      <c r="G24" s="41">
        <v>2.2519999999999998</v>
      </c>
      <c r="H24" s="41">
        <v>1.7529999999999999</v>
      </c>
      <c r="I24" s="41">
        <v>0.49399999999999999</v>
      </c>
      <c r="J24" s="41">
        <v>0.18</v>
      </c>
      <c r="K24" s="41">
        <v>2.37</v>
      </c>
      <c r="L24" s="41">
        <v>143</v>
      </c>
      <c r="M24" s="41">
        <v>2.2000000000000002</v>
      </c>
      <c r="N24" s="41">
        <v>3.49</v>
      </c>
      <c r="O24" s="41">
        <v>5.0220000000000002</v>
      </c>
    </row>
    <row r="25" spans="1:15">
      <c r="A25" t="s">
        <v>50</v>
      </c>
      <c r="B25" t="s">
        <v>338</v>
      </c>
      <c r="C25" t="s">
        <v>48</v>
      </c>
      <c r="D25" t="s">
        <v>156</v>
      </c>
      <c r="E25" t="s">
        <v>332</v>
      </c>
      <c r="F25" s="41">
        <v>0.33400000000000002</v>
      </c>
      <c r="G25" s="41">
        <v>2.1859999999999999</v>
      </c>
      <c r="H25" s="41">
        <v>1.917</v>
      </c>
      <c r="I25" s="41">
        <v>0.52900000000000003</v>
      </c>
      <c r="J25" s="41">
        <v>0.39</v>
      </c>
      <c r="K25" s="41">
        <v>1.96</v>
      </c>
      <c r="L25" s="41">
        <v>172.6</v>
      </c>
      <c r="M25" s="41">
        <v>1.66</v>
      </c>
      <c r="N25" s="41">
        <v>3.52</v>
      </c>
      <c r="O25" s="41">
        <v>4.7240000000000002</v>
      </c>
    </row>
    <row r="26" spans="1:15">
      <c r="A26" t="s">
        <v>51</v>
      </c>
      <c r="B26" t="s">
        <v>338</v>
      </c>
      <c r="C26" t="s">
        <v>52</v>
      </c>
      <c r="D26" t="s">
        <v>160</v>
      </c>
      <c r="E26" t="s">
        <v>332</v>
      </c>
      <c r="F26" s="41">
        <v>0.35399999999999998</v>
      </c>
      <c r="G26" s="41">
        <v>2.2559999999999998</v>
      </c>
      <c r="H26" s="41">
        <v>1.796</v>
      </c>
      <c r="I26" s="41">
        <v>0.57199999999999995</v>
      </c>
      <c r="J26" s="41">
        <v>0.34</v>
      </c>
      <c r="K26" s="41">
        <v>2.25</v>
      </c>
      <c r="L26" s="41">
        <v>131.1</v>
      </c>
      <c r="M26" s="41">
        <v>1.4</v>
      </c>
      <c r="N26" s="41">
        <v>3.53</v>
      </c>
      <c r="O26" s="41">
        <v>4.8529999999999998</v>
      </c>
    </row>
    <row r="27" spans="1:15">
      <c r="A27" t="s">
        <v>53</v>
      </c>
      <c r="B27" t="s">
        <v>338</v>
      </c>
      <c r="C27" t="s">
        <v>52</v>
      </c>
      <c r="D27" t="s">
        <v>160</v>
      </c>
      <c r="E27" t="s">
        <v>332</v>
      </c>
      <c r="F27" s="41">
        <v>0.40400000000000003</v>
      </c>
      <c r="G27" s="41">
        <v>2.3250000000000002</v>
      </c>
      <c r="H27" s="41">
        <v>1.722</v>
      </c>
      <c r="I27" s="41">
        <v>0.56699999999999995</v>
      </c>
      <c r="J27" s="41">
        <v>0.82</v>
      </c>
      <c r="K27" s="41">
        <v>2.0099999999999998</v>
      </c>
      <c r="L27" s="41">
        <v>119.2</v>
      </c>
      <c r="M27" s="41">
        <v>1.66</v>
      </c>
      <c r="N27" s="41">
        <v>3.42</v>
      </c>
      <c r="O27" s="41">
        <v>5.2450000000000001</v>
      </c>
    </row>
    <row r="28" spans="1:15">
      <c r="A28" t="s">
        <v>54</v>
      </c>
      <c r="B28" t="s">
        <v>338</v>
      </c>
      <c r="C28" t="s">
        <v>52</v>
      </c>
      <c r="D28" t="s">
        <v>160</v>
      </c>
      <c r="E28" t="s">
        <v>332</v>
      </c>
      <c r="F28" s="41">
        <v>0.39</v>
      </c>
      <c r="G28" s="41">
        <v>2.173</v>
      </c>
      <c r="H28" s="41">
        <v>1.893</v>
      </c>
      <c r="I28" s="41">
        <v>0.51900000000000002</v>
      </c>
      <c r="J28" s="41">
        <v>0.47</v>
      </c>
      <c r="K28" s="41">
        <v>2</v>
      </c>
      <c r="L28" s="41">
        <v>146.30000000000001</v>
      </c>
      <c r="M28" s="41">
        <v>1.1499999999999999</v>
      </c>
      <c r="N28" s="41">
        <v>3.5</v>
      </c>
      <c r="O28" s="41">
        <v>4.6970000000000001</v>
      </c>
    </row>
    <row r="29" spans="1:15">
      <c r="A29" t="s">
        <v>55</v>
      </c>
      <c r="B29" t="s">
        <v>338</v>
      </c>
      <c r="C29" t="s">
        <v>56</v>
      </c>
      <c r="D29" t="s">
        <v>320</v>
      </c>
      <c r="E29" t="s">
        <v>333</v>
      </c>
      <c r="F29" s="41">
        <v>0.40799999999999997</v>
      </c>
      <c r="G29" s="41">
        <v>2.5449999999999999</v>
      </c>
      <c r="H29" s="41">
        <v>2.0129999999999999</v>
      </c>
      <c r="I29" s="41">
        <v>0</v>
      </c>
      <c r="J29" s="41">
        <v>1.07</v>
      </c>
      <c r="K29" s="41">
        <v>4.17</v>
      </c>
      <c r="L29" s="41">
        <v>164.8</v>
      </c>
      <c r="M29" s="41">
        <v>2.23</v>
      </c>
      <c r="N29" s="41">
        <v>3.68</v>
      </c>
      <c r="O29" s="41">
        <v>7.12</v>
      </c>
    </row>
    <row r="30" spans="1:15">
      <c r="A30" t="s">
        <v>57</v>
      </c>
      <c r="B30" t="s">
        <v>338</v>
      </c>
      <c r="C30" t="s">
        <v>56</v>
      </c>
      <c r="D30" t="s">
        <v>320</v>
      </c>
      <c r="E30" t="s">
        <v>333</v>
      </c>
      <c r="F30" s="41">
        <v>0.39700000000000002</v>
      </c>
      <c r="G30" s="41">
        <v>2.589</v>
      </c>
      <c r="H30" s="41">
        <v>2.1819999999999999</v>
      </c>
      <c r="I30" s="41">
        <v>0</v>
      </c>
      <c r="J30" s="41">
        <v>1.19</v>
      </c>
      <c r="K30" s="41">
        <v>3.46</v>
      </c>
      <c r="L30" s="41">
        <v>182.1</v>
      </c>
      <c r="M30" s="41">
        <v>1.53</v>
      </c>
      <c r="N30" s="41">
        <v>3.63</v>
      </c>
      <c r="O30" s="41">
        <v>6.4669999999999996</v>
      </c>
    </row>
    <row r="31" spans="1:15">
      <c r="A31" t="s">
        <v>58</v>
      </c>
      <c r="B31" t="s">
        <v>338</v>
      </c>
      <c r="C31" t="s">
        <v>56</v>
      </c>
      <c r="D31" t="s">
        <v>320</v>
      </c>
      <c r="E31" t="s">
        <v>333</v>
      </c>
      <c r="F31" s="41">
        <v>0.53900000000000003</v>
      </c>
      <c r="G31" s="41">
        <v>2.6589999999999998</v>
      </c>
      <c r="H31" s="41">
        <v>2.2080000000000002</v>
      </c>
      <c r="I31" s="41">
        <v>0</v>
      </c>
      <c r="J31" s="41">
        <v>1.35</v>
      </c>
      <c r="K31" s="41">
        <v>4.7</v>
      </c>
      <c r="L31" s="41">
        <v>163.9</v>
      </c>
      <c r="M31" s="41">
        <v>1.9</v>
      </c>
      <c r="N31" s="41">
        <v>3.73</v>
      </c>
      <c r="O31" s="41">
        <v>7.6479999999999997</v>
      </c>
    </row>
    <row r="32" spans="1:15">
      <c r="A32" t="s">
        <v>59</v>
      </c>
      <c r="B32" t="s">
        <v>338</v>
      </c>
      <c r="C32" t="s">
        <v>60</v>
      </c>
      <c r="D32" t="s">
        <v>132</v>
      </c>
      <c r="E32" t="s">
        <v>333</v>
      </c>
      <c r="F32" s="41">
        <v>0.43</v>
      </c>
      <c r="G32" s="41">
        <v>3.2280000000000002</v>
      </c>
      <c r="H32" s="41">
        <v>2.161</v>
      </c>
      <c r="I32" s="41">
        <v>0</v>
      </c>
      <c r="J32" s="41">
        <v>3.66</v>
      </c>
      <c r="K32" s="41">
        <v>4.8</v>
      </c>
      <c r="L32" s="41">
        <v>157.19999999999999</v>
      </c>
      <c r="M32" s="41">
        <v>1.24</v>
      </c>
      <c r="N32" s="41">
        <v>3.38</v>
      </c>
      <c r="O32" s="41">
        <v>8.9160000000000004</v>
      </c>
    </row>
    <row r="33" spans="1:15">
      <c r="A33" t="s">
        <v>61</v>
      </c>
      <c r="B33" t="s">
        <v>338</v>
      </c>
      <c r="C33" t="s">
        <v>60</v>
      </c>
      <c r="D33" t="s">
        <v>132</v>
      </c>
      <c r="E33" t="s">
        <v>333</v>
      </c>
      <c r="F33" s="41">
        <v>0.433</v>
      </c>
      <c r="G33" s="41">
        <v>3.27</v>
      </c>
      <c r="H33" s="41">
        <v>2.044</v>
      </c>
      <c r="I33" s="41">
        <v>0</v>
      </c>
      <c r="J33" s="41">
        <v>3.99</v>
      </c>
      <c r="K33" s="41">
        <v>5.35</v>
      </c>
      <c r="L33" s="41">
        <v>144.5</v>
      </c>
      <c r="M33" s="41">
        <v>1.59</v>
      </c>
      <c r="N33" s="41">
        <v>3.29</v>
      </c>
      <c r="O33" s="41">
        <v>9.9060000000000006</v>
      </c>
    </row>
    <row r="34" spans="1:15">
      <c r="A34" t="s">
        <v>62</v>
      </c>
      <c r="B34" t="s">
        <v>338</v>
      </c>
      <c r="C34" t="s">
        <v>60</v>
      </c>
      <c r="D34" t="s">
        <v>132</v>
      </c>
      <c r="E34" t="s">
        <v>333</v>
      </c>
      <c r="F34" s="41">
        <v>0.39600000000000002</v>
      </c>
      <c r="G34" s="41">
        <v>3.3180000000000001</v>
      </c>
      <c r="H34" s="41">
        <v>2.0059999999999998</v>
      </c>
      <c r="I34" s="41">
        <v>0</v>
      </c>
      <c r="J34" s="41">
        <v>3.33</v>
      </c>
      <c r="K34" s="41">
        <v>4.2</v>
      </c>
      <c r="L34" s="41">
        <v>149.9</v>
      </c>
      <c r="M34" s="41">
        <v>1.47</v>
      </c>
      <c r="N34" s="41">
        <v>3.27</v>
      </c>
      <c r="O34" s="41">
        <v>8.6080000000000005</v>
      </c>
    </row>
    <row r="35" spans="1:15">
      <c r="A35" t="s">
        <v>63</v>
      </c>
      <c r="B35" t="s">
        <v>338</v>
      </c>
      <c r="C35" t="s">
        <v>64</v>
      </c>
      <c r="D35" t="s">
        <v>136</v>
      </c>
      <c r="E35" t="s">
        <v>333</v>
      </c>
      <c r="F35" s="41">
        <v>0.45200000000000001</v>
      </c>
      <c r="G35" s="41">
        <v>3.2770000000000001</v>
      </c>
      <c r="H35" s="41">
        <v>2.0409999999999999</v>
      </c>
      <c r="I35" s="41">
        <v>0.66400000000000003</v>
      </c>
      <c r="J35" s="41">
        <v>3.21</v>
      </c>
      <c r="K35" s="41">
        <v>5.7</v>
      </c>
      <c r="L35" s="41">
        <v>148</v>
      </c>
      <c r="M35" s="41">
        <v>1.8</v>
      </c>
      <c r="N35" s="41">
        <v>3.48</v>
      </c>
      <c r="O35" s="41">
        <v>9.3670000000000009</v>
      </c>
    </row>
    <row r="36" spans="1:15">
      <c r="A36" t="s">
        <v>65</v>
      </c>
      <c r="B36" t="s">
        <v>338</v>
      </c>
      <c r="C36" t="s">
        <v>64</v>
      </c>
      <c r="D36" t="s">
        <v>136</v>
      </c>
      <c r="E36" t="s">
        <v>333</v>
      </c>
      <c r="F36" s="41">
        <v>0.41</v>
      </c>
      <c r="G36" s="41">
        <v>2.524</v>
      </c>
      <c r="H36" s="41">
        <v>2.0590000000000002</v>
      </c>
      <c r="I36" s="41">
        <v>0.56899999999999995</v>
      </c>
      <c r="J36" s="41">
        <v>2.13</v>
      </c>
      <c r="K36" s="41">
        <v>3.75</v>
      </c>
      <c r="L36" s="41">
        <v>159.30000000000001</v>
      </c>
      <c r="M36" s="41">
        <v>1.81</v>
      </c>
      <c r="N36" s="41">
        <v>3.42</v>
      </c>
      <c r="O36" s="41">
        <v>7.0949999999999998</v>
      </c>
    </row>
    <row r="37" spans="1:15">
      <c r="A37" t="s">
        <v>66</v>
      </c>
      <c r="B37" t="s">
        <v>338</v>
      </c>
      <c r="C37" t="s">
        <v>64</v>
      </c>
      <c r="D37" t="s">
        <v>136</v>
      </c>
      <c r="E37" t="s">
        <v>333</v>
      </c>
      <c r="F37" s="41">
        <v>0.40500000000000003</v>
      </c>
      <c r="G37" s="41">
        <v>2.5390000000000001</v>
      </c>
      <c r="H37" s="41">
        <v>2.0329999999999999</v>
      </c>
      <c r="I37" s="41">
        <v>0.56000000000000005</v>
      </c>
      <c r="J37" s="41">
        <v>1.28</v>
      </c>
      <c r="K37" s="41">
        <v>3.1</v>
      </c>
      <c r="L37" s="41">
        <v>165.3</v>
      </c>
      <c r="M37" s="41">
        <v>2.27</v>
      </c>
      <c r="N37" s="41">
        <v>3.65</v>
      </c>
      <c r="O37" s="41">
        <v>6.0990000000000002</v>
      </c>
    </row>
    <row r="38" spans="1:15">
      <c r="A38" t="s">
        <v>67</v>
      </c>
      <c r="B38" t="s">
        <v>338</v>
      </c>
      <c r="C38" t="s">
        <v>68</v>
      </c>
      <c r="D38" t="s">
        <v>321</v>
      </c>
      <c r="E38" t="s">
        <v>333</v>
      </c>
      <c r="F38" s="41">
        <v>0.34899999999999998</v>
      </c>
      <c r="G38" s="41">
        <v>2.754</v>
      </c>
      <c r="H38" s="41">
        <v>1.996</v>
      </c>
      <c r="I38" s="41">
        <v>0.43099999999999999</v>
      </c>
      <c r="J38" s="41">
        <v>0.93</v>
      </c>
      <c r="K38" s="41">
        <v>3.34</v>
      </c>
      <c r="L38" s="41">
        <v>129</v>
      </c>
      <c r="M38" s="41">
        <v>2.15</v>
      </c>
      <c r="N38" s="41">
        <v>3.6</v>
      </c>
      <c r="O38" s="41">
        <v>6.8360000000000003</v>
      </c>
    </row>
    <row r="39" spans="1:15">
      <c r="A39" t="s">
        <v>69</v>
      </c>
      <c r="B39" t="s">
        <v>338</v>
      </c>
      <c r="C39" t="s">
        <v>68</v>
      </c>
      <c r="D39" t="s">
        <v>321</v>
      </c>
      <c r="E39" t="s">
        <v>333</v>
      </c>
      <c r="F39" s="41">
        <v>0.38600000000000001</v>
      </c>
      <c r="G39" s="41">
        <v>2.9430000000000001</v>
      </c>
      <c r="H39" s="41">
        <v>2.0059999999999998</v>
      </c>
      <c r="I39" s="41">
        <v>0.55400000000000005</v>
      </c>
      <c r="J39" s="41">
        <v>2.3199999999999998</v>
      </c>
      <c r="K39" s="41">
        <v>3.52</v>
      </c>
      <c r="L39" s="41">
        <v>152.6</v>
      </c>
      <c r="M39" s="41">
        <v>2.0499999999999998</v>
      </c>
      <c r="N39" s="41">
        <v>3.52</v>
      </c>
      <c r="O39" s="41">
        <v>6.9180000000000001</v>
      </c>
    </row>
    <row r="40" spans="1:15">
      <c r="A40" t="s">
        <v>70</v>
      </c>
      <c r="B40" t="s">
        <v>338</v>
      </c>
      <c r="C40" t="s">
        <v>68</v>
      </c>
      <c r="D40" t="s">
        <v>321</v>
      </c>
      <c r="E40" t="s">
        <v>333</v>
      </c>
      <c r="F40" s="41">
        <v>0.439</v>
      </c>
      <c r="G40" s="41">
        <v>3.2650000000000001</v>
      </c>
      <c r="H40" s="41">
        <v>2.09</v>
      </c>
      <c r="I40" s="41">
        <v>0.47899999999999998</v>
      </c>
      <c r="J40" s="41">
        <v>3.26</v>
      </c>
      <c r="K40" s="41">
        <v>5.41</v>
      </c>
      <c r="L40" s="41">
        <v>154.6</v>
      </c>
      <c r="M40" s="41">
        <v>2.14</v>
      </c>
      <c r="N40" s="41">
        <v>3.49</v>
      </c>
      <c r="O40" s="41">
        <v>9.0630000000000006</v>
      </c>
    </row>
    <row r="41" spans="1:15">
      <c r="A41" t="s">
        <v>71</v>
      </c>
      <c r="B41" t="s">
        <v>338</v>
      </c>
      <c r="C41" t="s">
        <v>72</v>
      </c>
      <c r="D41" t="s">
        <v>322</v>
      </c>
      <c r="E41" t="s">
        <v>333</v>
      </c>
      <c r="F41" s="41">
        <v>0.33300000000000002</v>
      </c>
      <c r="G41" s="41">
        <v>2.077</v>
      </c>
      <c r="H41" s="41">
        <v>1.851</v>
      </c>
      <c r="I41" s="41">
        <v>0</v>
      </c>
      <c r="J41" s="41">
        <v>0.99</v>
      </c>
      <c r="K41" s="41">
        <v>3.03</v>
      </c>
      <c r="L41" s="41">
        <v>157.6</v>
      </c>
      <c r="M41" s="41">
        <v>1.32</v>
      </c>
      <c r="N41" s="41">
        <v>3.38</v>
      </c>
      <c r="O41" s="41">
        <v>6.069</v>
      </c>
    </row>
    <row r="42" spans="1:15">
      <c r="A42" t="s">
        <v>73</v>
      </c>
      <c r="B42" t="s">
        <v>338</v>
      </c>
      <c r="C42" t="s">
        <v>72</v>
      </c>
      <c r="D42" t="s">
        <v>322</v>
      </c>
      <c r="E42" t="s">
        <v>333</v>
      </c>
      <c r="F42" s="41">
        <v>0.34100000000000003</v>
      </c>
      <c r="G42" s="41">
        <v>2.13</v>
      </c>
      <c r="H42" s="41">
        <v>2.0270000000000001</v>
      </c>
      <c r="I42" s="41">
        <v>0</v>
      </c>
      <c r="J42" s="41">
        <v>0.93</v>
      </c>
      <c r="K42" s="41">
        <v>2.38</v>
      </c>
      <c r="L42" s="41">
        <v>174</v>
      </c>
      <c r="M42" s="41">
        <v>1.41</v>
      </c>
      <c r="N42" s="41">
        <v>3.5</v>
      </c>
      <c r="O42" s="41">
        <v>5.2350000000000003</v>
      </c>
    </row>
    <row r="43" spans="1:15">
      <c r="A43" t="s">
        <v>74</v>
      </c>
      <c r="B43" t="s">
        <v>338</v>
      </c>
      <c r="C43" t="s">
        <v>72</v>
      </c>
      <c r="D43" t="s">
        <v>322</v>
      </c>
      <c r="E43" t="s">
        <v>333</v>
      </c>
      <c r="F43" s="41">
        <v>0.34799999999999998</v>
      </c>
      <c r="G43" s="41">
        <v>2.0750000000000002</v>
      </c>
      <c r="H43" s="41">
        <v>1.9319999999999999</v>
      </c>
      <c r="I43" s="41">
        <v>0</v>
      </c>
      <c r="J43" s="41">
        <v>0.87</v>
      </c>
      <c r="K43" s="41">
        <v>2.42</v>
      </c>
      <c r="L43" s="41">
        <v>156.30000000000001</v>
      </c>
      <c r="M43" s="41">
        <v>1.48</v>
      </c>
      <c r="N43" s="41">
        <v>3.38</v>
      </c>
      <c r="O43" s="41">
        <v>5.3209999999999997</v>
      </c>
    </row>
    <row r="44" spans="1:15">
      <c r="A44" t="s">
        <v>75</v>
      </c>
      <c r="B44" t="s">
        <v>338</v>
      </c>
      <c r="C44" t="s">
        <v>76</v>
      </c>
      <c r="D44" t="s">
        <v>148</v>
      </c>
      <c r="E44" t="s">
        <v>333</v>
      </c>
      <c r="F44" s="41">
        <v>0.33100000000000002</v>
      </c>
      <c r="G44" s="41">
        <v>1.819</v>
      </c>
      <c r="H44" s="41">
        <v>1.7969999999999999</v>
      </c>
      <c r="I44" s="41">
        <v>0.437</v>
      </c>
      <c r="J44" s="41">
        <v>0.98</v>
      </c>
      <c r="K44" s="41">
        <v>1.52</v>
      </c>
      <c r="L44" s="41">
        <v>137.4</v>
      </c>
      <c r="M44" s="41">
        <v>2.6</v>
      </c>
      <c r="N44" s="41">
        <v>3.45</v>
      </c>
      <c r="O44" s="41">
        <v>4.1959999999999997</v>
      </c>
    </row>
    <row r="45" spans="1:15">
      <c r="A45" t="s">
        <v>77</v>
      </c>
      <c r="B45" t="s">
        <v>338</v>
      </c>
      <c r="C45" t="s">
        <v>76</v>
      </c>
      <c r="D45" t="s">
        <v>148</v>
      </c>
      <c r="E45" t="s">
        <v>333</v>
      </c>
      <c r="F45" s="41">
        <v>0.30199999999999999</v>
      </c>
      <c r="G45" s="41">
        <v>1.9370000000000001</v>
      </c>
      <c r="H45" s="41">
        <v>1.786</v>
      </c>
      <c r="I45" s="41">
        <v>0.36799999999999999</v>
      </c>
      <c r="J45" s="41">
        <v>0.4</v>
      </c>
      <c r="K45" s="41">
        <v>0.88</v>
      </c>
      <c r="L45" s="41">
        <v>153</v>
      </c>
      <c r="M45" s="41">
        <v>1.59</v>
      </c>
      <c r="N45" s="41">
        <v>3.12</v>
      </c>
      <c r="O45" s="41">
        <v>3.762</v>
      </c>
    </row>
    <row r="46" spans="1:15">
      <c r="A46" t="s">
        <v>78</v>
      </c>
      <c r="B46" t="s">
        <v>338</v>
      </c>
      <c r="C46" t="s">
        <v>76</v>
      </c>
      <c r="D46" t="s">
        <v>148</v>
      </c>
      <c r="E46" t="s">
        <v>333</v>
      </c>
      <c r="F46" s="41">
        <v>0.308</v>
      </c>
      <c r="G46" s="41">
        <v>1.9159999999999999</v>
      </c>
      <c r="H46" s="41">
        <v>1.869</v>
      </c>
      <c r="I46" s="41">
        <v>0.41299999999999998</v>
      </c>
      <c r="J46" s="41">
        <v>0.28999999999999998</v>
      </c>
      <c r="K46" s="41">
        <v>1.03</v>
      </c>
      <c r="L46" s="41">
        <v>144.9</v>
      </c>
      <c r="M46" s="41">
        <v>2.2000000000000002</v>
      </c>
      <c r="N46" s="41">
        <v>3.27</v>
      </c>
      <c r="O46" s="41">
        <v>3.4740000000000002</v>
      </c>
    </row>
    <row r="47" spans="1:15">
      <c r="A47" t="s">
        <v>79</v>
      </c>
      <c r="B47" t="s">
        <v>338</v>
      </c>
      <c r="C47" t="s">
        <v>80</v>
      </c>
      <c r="D47" t="s">
        <v>323</v>
      </c>
      <c r="E47" t="s">
        <v>333</v>
      </c>
      <c r="F47" s="41">
        <v>0.32800000000000001</v>
      </c>
      <c r="G47" s="41">
        <v>2.8279999999999998</v>
      </c>
      <c r="H47" s="41">
        <v>1.905</v>
      </c>
      <c r="I47" s="41">
        <v>0.44700000000000001</v>
      </c>
      <c r="J47" s="41">
        <v>3.41</v>
      </c>
      <c r="K47" s="41">
        <v>4.12</v>
      </c>
      <c r="L47" s="41">
        <v>183.3</v>
      </c>
      <c r="M47" s="41">
        <v>1.99</v>
      </c>
      <c r="N47" s="41">
        <v>3.3</v>
      </c>
      <c r="O47" s="41">
        <v>8.1660000000000004</v>
      </c>
    </row>
    <row r="48" spans="1:15">
      <c r="A48" t="s">
        <v>81</v>
      </c>
      <c r="B48" t="s">
        <v>338</v>
      </c>
      <c r="C48" t="s">
        <v>80</v>
      </c>
      <c r="D48" t="s">
        <v>323</v>
      </c>
      <c r="E48" t="s">
        <v>333</v>
      </c>
      <c r="F48" s="41">
        <v>0.33700000000000002</v>
      </c>
      <c r="G48" s="41">
        <v>2.52</v>
      </c>
      <c r="H48" s="41">
        <v>1.921</v>
      </c>
      <c r="I48" s="41">
        <v>0.52600000000000002</v>
      </c>
      <c r="J48" s="41">
        <v>1.54</v>
      </c>
      <c r="K48" s="41">
        <v>3.26</v>
      </c>
      <c r="L48" s="41">
        <v>164.3</v>
      </c>
      <c r="M48" s="41">
        <v>1.88</v>
      </c>
      <c r="N48" s="41">
        <v>3.46</v>
      </c>
      <c r="O48" s="41">
        <v>6.476</v>
      </c>
    </row>
    <row r="49" spans="1:15">
      <c r="A49" t="s">
        <v>82</v>
      </c>
      <c r="B49" t="s">
        <v>338</v>
      </c>
      <c r="C49" t="s">
        <v>80</v>
      </c>
      <c r="D49" t="s">
        <v>323</v>
      </c>
      <c r="E49" t="s">
        <v>333</v>
      </c>
      <c r="F49" s="41">
        <v>0.35399999999999998</v>
      </c>
      <c r="G49" s="41">
        <v>2.9260000000000002</v>
      </c>
      <c r="H49" s="41">
        <v>2.0070000000000001</v>
      </c>
      <c r="I49" s="41">
        <v>0.54500000000000004</v>
      </c>
      <c r="J49" s="41">
        <v>2.88</v>
      </c>
      <c r="K49" s="41">
        <v>3.95</v>
      </c>
      <c r="L49" s="41">
        <v>146.1</v>
      </c>
      <c r="M49" s="41">
        <v>1.6</v>
      </c>
      <c r="N49" s="41">
        <v>3.34</v>
      </c>
      <c r="O49" s="41">
        <v>7.6509999999999998</v>
      </c>
    </row>
    <row r="50" spans="1:15">
      <c r="A50" t="s">
        <v>83</v>
      </c>
      <c r="B50" t="s">
        <v>338</v>
      </c>
      <c r="C50" t="s">
        <v>84</v>
      </c>
      <c r="D50" t="s">
        <v>156</v>
      </c>
      <c r="E50" t="s">
        <v>333</v>
      </c>
      <c r="F50" s="41">
        <v>0.38400000000000001</v>
      </c>
      <c r="G50" s="41">
        <v>2.1869999999999998</v>
      </c>
      <c r="H50" s="41">
        <v>1.7589999999999999</v>
      </c>
      <c r="I50" s="41">
        <v>0.50800000000000001</v>
      </c>
      <c r="J50" s="41">
        <v>1.97</v>
      </c>
      <c r="K50" s="41">
        <v>3.64</v>
      </c>
      <c r="L50" s="41">
        <v>137.4</v>
      </c>
      <c r="M50" s="41">
        <v>1.72</v>
      </c>
      <c r="N50" s="41">
        <v>3.34</v>
      </c>
      <c r="O50" s="41">
        <v>6.9880000000000004</v>
      </c>
    </row>
    <row r="51" spans="1:15">
      <c r="A51" t="s">
        <v>85</v>
      </c>
      <c r="B51" t="s">
        <v>338</v>
      </c>
      <c r="C51" t="s">
        <v>84</v>
      </c>
      <c r="D51" t="s">
        <v>156</v>
      </c>
      <c r="E51" t="s">
        <v>333</v>
      </c>
      <c r="F51" s="41">
        <v>0.34100000000000003</v>
      </c>
      <c r="G51" s="41">
        <v>2.0499999999999998</v>
      </c>
      <c r="H51" s="41">
        <v>1.891</v>
      </c>
      <c r="I51" s="41">
        <v>0.55700000000000005</v>
      </c>
      <c r="J51" s="41">
        <v>0.67</v>
      </c>
      <c r="K51" s="41">
        <v>2.67</v>
      </c>
      <c r="L51" s="41">
        <v>160.19999999999999</v>
      </c>
      <c r="M51" s="41">
        <v>1.57</v>
      </c>
      <c r="N51" s="41">
        <v>3.44</v>
      </c>
      <c r="O51" s="41">
        <v>5.5069999999999997</v>
      </c>
    </row>
    <row r="52" spans="1:15">
      <c r="A52" t="s">
        <v>86</v>
      </c>
      <c r="B52" t="s">
        <v>338</v>
      </c>
      <c r="C52" t="s">
        <v>84</v>
      </c>
      <c r="D52" t="s">
        <v>156</v>
      </c>
      <c r="E52" t="s">
        <v>333</v>
      </c>
      <c r="F52" s="41">
        <v>0.33700000000000002</v>
      </c>
      <c r="G52" s="41">
        <v>2.5539999999999998</v>
      </c>
      <c r="H52" s="41">
        <v>1.8660000000000001</v>
      </c>
      <c r="I52" s="41">
        <v>0.55900000000000005</v>
      </c>
      <c r="J52" s="41">
        <v>1.17</v>
      </c>
      <c r="K52" s="41">
        <v>3.6</v>
      </c>
      <c r="L52" s="41">
        <v>145.9</v>
      </c>
      <c r="M52" s="41">
        <v>2.2999999999999998</v>
      </c>
      <c r="N52" s="41">
        <v>3.56</v>
      </c>
      <c r="O52" s="41">
        <v>6.6669999999999998</v>
      </c>
    </row>
    <row r="53" spans="1:15">
      <c r="A53" t="s">
        <v>87</v>
      </c>
      <c r="B53" t="s">
        <v>338</v>
      </c>
      <c r="C53" t="s">
        <v>88</v>
      </c>
      <c r="D53" t="s">
        <v>160</v>
      </c>
      <c r="E53" t="s">
        <v>333</v>
      </c>
      <c r="F53" s="41">
        <v>0.312</v>
      </c>
      <c r="G53" s="41">
        <v>2.3319999999999999</v>
      </c>
      <c r="H53" s="41">
        <v>1.8129999999999999</v>
      </c>
      <c r="I53" s="41">
        <v>0.47699999999999998</v>
      </c>
      <c r="J53" s="41">
        <v>1.1599999999999999</v>
      </c>
      <c r="K53" s="41">
        <v>3.24</v>
      </c>
      <c r="L53" s="41">
        <v>150.5</v>
      </c>
      <c r="M53" s="41">
        <v>0</v>
      </c>
      <c r="N53" s="41">
        <v>3.4</v>
      </c>
      <c r="O53" s="41">
        <v>6.4059999999999997</v>
      </c>
    </row>
    <row r="54" spans="1:15">
      <c r="A54" t="s">
        <v>89</v>
      </c>
      <c r="B54" t="s">
        <v>338</v>
      </c>
      <c r="C54" t="s">
        <v>88</v>
      </c>
      <c r="D54" t="s">
        <v>160</v>
      </c>
      <c r="E54" t="s">
        <v>333</v>
      </c>
      <c r="F54" s="41">
        <v>0.33900000000000002</v>
      </c>
      <c r="G54" s="41">
        <v>2.4750000000000001</v>
      </c>
      <c r="H54" s="41">
        <v>1.911</v>
      </c>
      <c r="I54" s="41">
        <v>0.54400000000000004</v>
      </c>
      <c r="J54" s="41">
        <v>1.49</v>
      </c>
      <c r="K54" s="41">
        <v>3.48</v>
      </c>
      <c r="L54" s="41">
        <v>143.30000000000001</v>
      </c>
      <c r="M54" s="41">
        <v>0</v>
      </c>
      <c r="N54" s="41">
        <v>3.6</v>
      </c>
      <c r="O54" s="41">
        <v>6.2889999999999997</v>
      </c>
    </row>
    <row r="55" spans="1:15">
      <c r="A55" t="s">
        <v>90</v>
      </c>
      <c r="B55" t="s">
        <v>338</v>
      </c>
      <c r="C55" t="s">
        <v>88</v>
      </c>
      <c r="D55" t="s">
        <v>160</v>
      </c>
      <c r="E55" t="s">
        <v>333</v>
      </c>
      <c r="F55" s="41">
        <v>0.314</v>
      </c>
      <c r="G55" s="41">
        <v>2.4849999999999999</v>
      </c>
      <c r="H55" s="41">
        <v>1.861</v>
      </c>
      <c r="I55" s="41">
        <v>0.56799999999999995</v>
      </c>
      <c r="J55" s="41">
        <v>1.54</v>
      </c>
      <c r="K55" s="41">
        <v>3.63</v>
      </c>
      <c r="L55" s="41">
        <v>138.5</v>
      </c>
      <c r="M55" s="41">
        <v>0</v>
      </c>
      <c r="N55" s="41">
        <v>3.54</v>
      </c>
      <c r="O55" s="41">
        <v>6.7130000000000001</v>
      </c>
    </row>
    <row r="56" spans="1:15">
      <c r="A56" t="s">
        <v>91</v>
      </c>
      <c r="B56" t="s">
        <v>338</v>
      </c>
      <c r="C56" t="s">
        <v>92</v>
      </c>
      <c r="D56" t="s">
        <v>320</v>
      </c>
      <c r="E56" t="s">
        <v>334</v>
      </c>
      <c r="F56" s="41">
        <v>0.34499999999999997</v>
      </c>
      <c r="G56" s="41">
        <v>2.4430000000000001</v>
      </c>
      <c r="H56" s="41">
        <v>1.881</v>
      </c>
      <c r="I56" s="41">
        <v>0</v>
      </c>
      <c r="J56" s="41">
        <v>3.54</v>
      </c>
      <c r="K56" s="41">
        <v>3.88</v>
      </c>
      <c r="L56" s="41">
        <v>147.6</v>
      </c>
      <c r="M56" s="41">
        <v>0</v>
      </c>
      <c r="N56" s="41">
        <v>3.42</v>
      </c>
      <c r="O56" s="41">
        <v>7.4219999999999997</v>
      </c>
    </row>
    <row r="57" spans="1:15">
      <c r="A57" t="s">
        <v>93</v>
      </c>
      <c r="B57" t="s">
        <v>338</v>
      </c>
      <c r="C57" t="s">
        <v>92</v>
      </c>
      <c r="D57" t="s">
        <v>320</v>
      </c>
      <c r="E57" t="s">
        <v>334</v>
      </c>
      <c r="F57" s="41">
        <v>0.40600000000000003</v>
      </c>
      <c r="G57" s="41">
        <v>2.97</v>
      </c>
      <c r="H57" s="41">
        <v>2.0150000000000001</v>
      </c>
      <c r="I57" s="41">
        <v>0</v>
      </c>
      <c r="J57" s="41">
        <v>3.66</v>
      </c>
      <c r="K57" s="41">
        <v>3.95</v>
      </c>
      <c r="L57" s="41">
        <v>194.5</v>
      </c>
      <c r="M57" s="41">
        <v>0</v>
      </c>
      <c r="N57" s="41">
        <v>3.43</v>
      </c>
      <c r="O57" s="41">
        <v>8.2330000000000005</v>
      </c>
    </row>
    <row r="58" spans="1:15">
      <c r="A58" t="s">
        <v>94</v>
      </c>
      <c r="B58" t="s">
        <v>338</v>
      </c>
      <c r="C58" t="s">
        <v>92</v>
      </c>
      <c r="D58" t="s">
        <v>320</v>
      </c>
      <c r="E58" t="s">
        <v>334</v>
      </c>
      <c r="F58" s="41">
        <v>0.38700000000000001</v>
      </c>
      <c r="G58" s="41">
        <v>2.6429999999999998</v>
      </c>
      <c r="H58" s="41">
        <v>1.96</v>
      </c>
      <c r="I58" s="41">
        <v>0</v>
      </c>
      <c r="J58" s="41">
        <v>3.48</v>
      </c>
      <c r="K58" s="41">
        <v>3.44</v>
      </c>
      <c r="L58" s="41">
        <v>158.69999999999999</v>
      </c>
      <c r="M58" s="41">
        <v>0</v>
      </c>
      <c r="N58" s="41">
        <v>3.33</v>
      </c>
      <c r="O58" s="41">
        <v>7.4630000000000001</v>
      </c>
    </row>
    <row r="59" spans="1:15">
      <c r="A59" t="s">
        <v>95</v>
      </c>
      <c r="B59" t="s">
        <v>338</v>
      </c>
      <c r="C59" t="s">
        <v>96</v>
      </c>
      <c r="D59" t="s">
        <v>132</v>
      </c>
      <c r="E59" t="s">
        <v>334</v>
      </c>
      <c r="F59" s="41">
        <v>0.41599999999999998</v>
      </c>
      <c r="G59" s="41">
        <v>2.5979999999999999</v>
      </c>
      <c r="H59" s="41">
        <v>1.9790000000000001</v>
      </c>
      <c r="I59" s="41">
        <v>0.50800000000000001</v>
      </c>
      <c r="J59" s="41">
        <v>1.24</v>
      </c>
      <c r="K59" s="41">
        <v>4.0599999999999996</v>
      </c>
      <c r="L59" s="41">
        <v>148.4</v>
      </c>
      <c r="M59" s="41">
        <v>0</v>
      </c>
      <c r="N59" s="41">
        <v>3.7</v>
      </c>
      <c r="O59" s="41">
        <v>0.33300000000000002</v>
      </c>
    </row>
    <row r="60" spans="1:15">
      <c r="A60" t="s">
        <v>97</v>
      </c>
      <c r="B60" t="s">
        <v>338</v>
      </c>
      <c r="C60" t="s">
        <v>96</v>
      </c>
      <c r="D60" t="s">
        <v>132</v>
      </c>
      <c r="E60" t="s">
        <v>334</v>
      </c>
      <c r="F60" s="41">
        <v>0.40300000000000002</v>
      </c>
      <c r="G60" s="41">
        <v>2.3479999999999999</v>
      </c>
      <c r="H60" s="41">
        <v>1.9530000000000001</v>
      </c>
      <c r="I60" s="41">
        <v>0.503</v>
      </c>
      <c r="J60" s="41">
        <v>1.18</v>
      </c>
      <c r="K60" s="41">
        <v>3.47</v>
      </c>
      <c r="L60" s="41">
        <v>148.9</v>
      </c>
      <c r="M60" s="41">
        <v>0</v>
      </c>
      <c r="N60" s="41">
        <v>3.58</v>
      </c>
      <c r="O60" s="41">
        <v>6.5640000000000001</v>
      </c>
    </row>
    <row r="61" spans="1:15">
      <c r="A61" t="s">
        <v>98</v>
      </c>
      <c r="B61" t="s">
        <v>338</v>
      </c>
      <c r="C61" t="s">
        <v>96</v>
      </c>
      <c r="D61" t="s">
        <v>132</v>
      </c>
      <c r="E61" t="s">
        <v>334</v>
      </c>
      <c r="F61" s="41">
        <v>0.439</v>
      </c>
      <c r="G61" s="41">
        <v>3.1720000000000002</v>
      </c>
      <c r="H61" s="41">
        <v>2.0470000000000002</v>
      </c>
      <c r="I61" s="41">
        <v>0.52300000000000002</v>
      </c>
      <c r="J61" s="41">
        <v>3.66</v>
      </c>
      <c r="K61" s="41">
        <v>5.29</v>
      </c>
      <c r="L61" s="41">
        <v>155.30000000000001</v>
      </c>
      <c r="M61" s="41">
        <v>0</v>
      </c>
      <c r="N61" s="41">
        <v>3.26</v>
      </c>
      <c r="O61" s="41">
        <v>10.013999999999999</v>
      </c>
    </row>
    <row r="62" spans="1:15">
      <c r="A62" t="s">
        <v>99</v>
      </c>
      <c r="B62" t="s">
        <v>338</v>
      </c>
      <c r="C62" t="s">
        <v>100</v>
      </c>
      <c r="D62" t="s">
        <v>136</v>
      </c>
      <c r="E62" t="s">
        <v>334</v>
      </c>
      <c r="F62" s="41">
        <v>0.43099999999999999</v>
      </c>
      <c r="G62" s="41">
        <v>3.2610000000000001</v>
      </c>
      <c r="H62" s="41">
        <v>2.0979999999999999</v>
      </c>
      <c r="I62" s="41">
        <v>0.53500000000000003</v>
      </c>
      <c r="J62" s="41">
        <v>3.44</v>
      </c>
      <c r="K62" s="41">
        <v>4.88</v>
      </c>
      <c r="L62" s="41">
        <v>144.4</v>
      </c>
      <c r="M62" s="41">
        <v>0</v>
      </c>
      <c r="N62" s="41">
        <v>3.47</v>
      </c>
      <c r="O62" s="41">
        <v>9.0060000000000002</v>
      </c>
    </row>
    <row r="63" spans="1:15">
      <c r="A63" t="s">
        <v>101</v>
      </c>
      <c r="B63" t="s">
        <v>338</v>
      </c>
      <c r="C63" t="s">
        <v>100</v>
      </c>
      <c r="D63" t="s">
        <v>136</v>
      </c>
      <c r="E63" t="s">
        <v>334</v>
      </c>
      <c r="F63" s="41">
        <v>0.44700000000000001</v>
      </c>
      <c r="G63" s="41">
        <v>3.5910000000000002</v>
      </c>
      <c r="H63" s="41">
        <v>2.081</v>
      </c>
      <c r="I63" s="41">
        <v>0</v>
      </c>
      <c r="J63" s="41">
        <v>5.22</v>
      </c>
      <c r="K63" s="41">
        <v>5.99</v>
      </c>
      <c r="L63" s="41">
        <v>138.30000000000001</v>
      </c>
      <c r="M63" s="41">
        <v>0</v>
      </c>
      <c r="N63" s="41">
        <v>3.31</v>
      </c>
      <c r="O63" s="41">
        <v>11.236000000000001</v>
      </c>
    </row>
    <row r="64" spans="1:15">
      <c r="A64" t="s">
        <v>102</v>
      </c>
      <c r="B64" t="s">
        <v>338</v>
      </c>
      <c r="C64" t="s">
        <v>100</v>
      </c>
      <c r="D64" t="s">
        <v>136</v>
      </c>
      <c r="E64" t="s">
        <v>334</v>
      </c>
      <c r="F64" s="41">
        <v>0.371</v>
      </c>
      <c r="G64" s="41">
        <v>2.8050000000000002</v>
      </c>
      <c r="H64" s="41">
        <v>1.982</v>
      </c>
      <c r="I64" s="41">
        <v>0.53500000000000003</v>
      </c>
      <c r="J64" s="41">
        <v>1.19</v>
      </c>
      <c r="K64" s="41">
        <v>3.46</v>
      </c>
      <c r="L64" s="41">
        <v>147.9</v>
      </c>
      <c r="M64" s="41">
        <v>0.08</v>
      </c>
      <c r="N64" s="41">
        <v>3.59</v>
      </c>
      <c r="O64" s="41">
        <v>6.79</v>
      </c>
    </row>
    <row r="65" spans="1:15">
      <c r="A65" t="s">
        <v>103</v>
      </c>
      <c r="B65" t="s">
        <v>338</v>
      </c>
      <c r="C65" t="s">
        <v>104</v>
      </c>
      <c r="D65" t="s">
        <v>321</v>
      </c>
      <c r="E65" t="s">
        <v>334</v>
      </c>
      <c r="F65" s="41">
        <v>0.36</v>
      </c>
      <c r="G65" s="41">
        <v>2.8050000000000002</v>
      </c>
      <c r="H65" s="41">
        <v>1.9019999999999999</v>
      </c>
      <c r="I65" s="41">
        <v>0.35699999999999998</v>
      </c>
      <c r="J65" s="41">
        <v>1.52</v>
      </c>
      <c r="K65" s="41">
        <v>3.62</v>
      </c>
      <c r="L65" s="41">
        <v>143.30000000000001</v>
      </c>
      <c r="M65" s="41">
        <v>0.01</v>
      </c>
      <c r="N65" s="41">
        <v>3.57</v>
      </c>
      <c r="O65" s="41">
        <v>6.5709999999999997</v>
      </c>
    </row>
    <row r="66" spans="1:15">
      <c r="A66" t="s">
        <v>105</v>
      </c>
      <c r="B66" t="s">
        <v>338</v>
      </c>
      <c r="C66" t="s">
        <v>104</v>
      </c>
      <c r="D66" t="s">
        <v>321</v>
      </c>
      <c r="E66" t="s">
        <v>334</v>
      </c>
      <c r="F66" s="41">
        <v>0.40600000000000003</v>
      </c>
      <c r="G66" s="41">
        <v>2.8580000000000001</v>
      </c>
      <c r="H66" s="41">
        <v>2.036</v>
      </c>
      <c r="I66" s="41">
        <v>0.45400000000000001</v>
      </c>
      <c r="J66" s="41">
        <v>1.7</v>
      </c>
      <c r="K66" s="41">
        <v>3.79</v>
      </c>
      <c r="L66" s="41">
        <v>146.5</v>
      </c>
      <c r="M66" s="41">
        <v>1.2</v>
      </c>
      <c r="N66" s="41">
        <v>3.6</v>
      </c>
      <c r="O66" s="41">
        <v>7.0010000000000003</v>
      </c>
    </row>
    <row r="67" spans="1:15">
      <c r="A67" t="s">
        <v>106</v>
      </c>
      <c r="B67" t="s">
        <v>338</v>
      </c>
      <c r="C67" t="s">
        <v>104</v>
      </c>
      <c r="D67" t="s">
        <v>321</v>
      </c>
      <c r="E67" t="s">
        <v>334</v>
      </c>
      <c r="F67" s="41">
        <v>0.44500000000000001</v>
      </c>
      <c r="G67" s="41">
        <v>2.7890000000000001</v>
      </c>
      <c r="H67" s="41">
        <v>1.98</v>
      </c>
      <c r="I67" s="41">
        <v>0.45300000000000001</v>
      </c>
      <c r="J67" s="41">
        <v>1.26</v>
      </c>
      <c r="K67" s="41">
        <v>3.75</v>
      </c>
      <c r="L67" s="41">
        <v>149.19999999999999</v>
      </c>
      <c r="M67" s="41">
        <v>0.45</v>
      </c>
      <c r="N67" s="41">
        <v>3.64</v>
      </c>
      <c r="O67" s="41">
        <v>7.0540000000000003</v>
      </c>
    </row>
    <row r="68" spans="1:15">
      <c r="A68" t="s">
        <v>107</v>
      </c>
      <c r="B68" t="s">
        <v>338</v>
      </c>
      <c r="C68" t="s">
        <v>108</v>
      </c>
      <c r="D68" t="s">
        <v>322</v>
      </c>
      <c r="E68" t="s">
        <v>334</v>
      </c>
      <c r="F68" s="41">
        <v>0.35299999999999998</v>
      </c>
      <c r="G68" s="41">
        <v>3.37</v>
      </c>
      <c r="H68" s="41">
        <v>1.784</v>
      </c>
      <c r="I68" s="41">
        <v>0</v>
      </c>
      <c r="J68" s="41">
        <v>3.85</v>
      </c>
      <c r="K68" s="41">
        <v>4.92</v>
      </c>
      <c r="L68" s="41">
        <v>141</v>
      </c>
      <c r="M68" s="41">
        <v>0.45</v>
      </c>
      <c r="N68" s="41">
        <v>3.16</v>
      </c>
      <c r="O68" s="41">
        <v>9.9290000000000003</v>
      </c>
    </row>
    <row r="69" spans="1:15">
      <c r="A69" t="s">
        <v>109</v>
      </c>
      <c r="B69" t="s">
        <v>338</v>
      </c>
      <c r="C69" t="s">
        <v>108</v>
      </c>
      <c r="D69" t="s">
        <v>322</v>
      </c>
      <c r="E69" t="s">
        <v>334</v>
      </c>
      <c r="F69" s="41">
        <v>0.38800000000000001</v>
      </c>
      <c r="G69" s="41">
        <v>2.714</v>
      </c>
      <c r="H69" s="41">
        <v>1.772</v>
      </c>
      <c r="I69" s="41">
        <v>0.308</v>
      </c>
      <c r="J69" s="41">
        <v>1.78</v>
      </c>
      <c r="K69" s="41">
        <v>3.32</v>
      </c>
      <c r="L69" s="41">
        <v>145.6</v>
      </c>
      <c r="M69" s="41">
        <v>1.1299999999999999</v>
      </c>
      <c r="N69" s="41">
        <v>3.29</v>
      </c>
      <c r="O69" s="41">
        <v>7.3780000000000001</v>
      </c>
    </row>
    <row r="70" spans="1:15">
      <c r="A70" t="s">
        <v>110</v>
      </c>
      <c r="B70" t="s">
        <v>338</v>
      </c>
      <c r="C70" t="s">
        <v>108</v>
      </c>
      <c r="D70" t="s">
        <v>322</v>
      </c>
      <c r="E70" t="s">
        <v>334</v>
      </c>
      <c r="F70" s="41">
        <v>0.40400000000000003</v>
      </c>
      <c r="G70" s="41">
        <v>2.6309999999999998</v>
      </c>
      <c r="H70" s="41">
        <v>1.9450000000000001</v>
      </c>
      <c r="I70" s="41">
        <v>0.34</v>
      </c>
      <c r="J70" s="41">
        <v>0.79</v>
      </c>
      <c r="K70" s="41">
        <v>2.56</v>
      </c>
      <c r="L70" s="41">
        <v>125.2</v>
      </c>
      <c r="M70" s="41">
        <v>0.73</v>
      </c>
      <c r="N70" s="41">
        <v>3.48</v>
      </c>
      <c r="O70" s="41">
        <v>6.4870000000000001</v>
      </c>
    </row>
    <row r="71" spans="1:15">
      <c r="A71" t="s">
        <v>111</v>
      </c>
      <c r="B71" t="s">
        <v>338</v>
      </c>
      <c r="C71" t="s">
        <v>112</v>
      </c>
      <c r="D71" t="s">
        <v>148</v>
      </c>
      <c r="E71" t="s">
        <v>334</v>
      </c>
      <c r="F71" s="41">
        <v>0.29799999999999999</v>
      </c>
      <c r="G71" s="41">
        <v>1.6339999999999999</v>
      </c>
      <c r="H71" s="41">
        <v>1.7450000000000001</v>
      </c>
      <c r="I71" s="41">
        <v>0.315</v>
      </c>
      <c r="J71" s="41">
        <v>0.37</v>
      </c>
      <c r="K71" s="41">
        <v>1.36</v>
      </c>
      <c r="L71" s="41">
        <v>152.19999999999999</v>
      </c>
      <c r="M71" s="41">
        <v>2.09</v>
      </c>
      <c r="N71" s="41">
        <v>3.54</v>
      </c>
      <c r="O71" s="41">
        <v>3.8860000000000001</v>
      </c>
    </row>
    <row r="72" spans="1:15">
      <c r="A72" t="s">
        <v>113</v>
      </c>
      <c r="B72" t="s">
        <v>338</v>
      </c>
      <c r="C72" t="s">
        <v>112</v>
      </c>
      <c r="D72" t="s">
        <v>148</v>
      </c>
      <c r="E72" t="s">
        <v>334</v>
      </c>
      <c r="F72" s="41">
        <v>0.28699999999999998</v>
      </c>
      <c r="G72" s="41">
        <v>1.571</v>
      </c>
      <c r="H72" s="41">
        <v>1.6990000000000001</v>
      </c>
      <c r="I72" s="41">
        <v>0.376</v>
      </c>
      <c r="J72" s="41">
        <v>0.31</v>
      </c>
      <c r="K72" s="41">
        <v>1.1200000000000001</v>
      </c>
      <c r="L72" s="41">
        <v>130.80000000000001</v>
      </c>
      <c r="M72" s="41">
        <v>2.78</v>
      </c>
      <c r="N72" s="41">
        <v>3.51</v>
      </c>
      <c r="O72" s="41">
        <v>3.7360000000000002</v>
      </c>
    </row>
    <row r="73" spans="1:15">
      <c r="A73" t="s">
        <v>114</v>
      </c>
      <c r="B73" t="s">
        <v>338</v>
      </c>
      <c r="C73" t="s">
        <v>112</v>
      </c>
      <c r="D73" t="s">
        <v>148</v>
      </c>
      <c r="E73" t="s">
        <v>334</v>
      </c>
      <c r="F73" s="41">
        <v>0.308</v>
      </c>
      <c r="G73" s="41">
        <v>1.593</v>
      </c>
      <c r="H73" s="41">
        <v>1.8740000000000001</v>
      </c>
      <c r="I73" s="41">
        <v>0.33500000000000002</v>
      </c>
      <c r="J73" s="41">
        <v>0.15</v>
      </c>
      <c r="K73" s="41">
        <v>0.79</v>
      </c>
      <c r="L73" s="41">
        <v>163.1</v>
      </c>
      <c r="M73" s="41">
        <v>1.48</v>
      </c>
      <c r="N73" s="41">
        <v>3.46</v>
      </c>
      <c r="O73" s="41">
        <v>3.1960000000000002</v>
      </c>
    </row>
    <row r="74" spans="1:15">
      <c r="A74" t="s">
        <v>115</v>
      </c>
      <c r="B74" t="s">
        <v>338</v>
      </c>
      <c r="C74" t="s">
        <v>116</v>
      </c>
      <c r="D74" t="s">
        <v>323</v>
      </c>
      <c r="E74" t="s">
        <v>334</v>
      </c>
      <c r="F74" s="41">
        <v>0.317</v>
      </c>
      <c r="G74" s="41">
        <v>2.0110000000000001</v>
      </c>
      <c r="H74" s="41">
        <v>1.7470000000000001</v>
      </c>
      <c r="I74" s="41">
        <v>0.371</v>
      </c>
      <c r="J74" s="41">
        <v>0.51</v>
      </c>
      <c r="K74" s="41">
        <v>1.78</v>
      </c>
      <c r="L74" s="41">
        <v>130.30000000000001</v>
      </c>
      <c r="M74" s="41">
        <v>2.36</v>
      </c>
      <c r="N74" s="41">
        <v>3.6</v>
      </c>
      <c r="O74" s="41">
        <v>4.54</v>
      </c>
    </row>
    <row r="75" spans="1:15">
      <c r="A75" t="s">
        <v>117</v>
      </c>
      <c r="B75" t="s">
        <v>338</v>
      </c>
      <c r="C75" t="s">
        <v>116</v>
      </c>
      <c r="D75" t="s">
        <v>323</v>
      </c>
      <c r="E75" t="s">
        <v>334</v>
      </c>
      <c r="F75" s="41">
        <v>0.32400000000000001</v>
      </c>
      <c r="G75" s="41">
        <v>2.4209999999999998</v>
      </c>
      <c r="H75" s="41">
        <v>1.845</v>
      </c>
      <c r="I75" s="41">
        <v>0.42099999999999999</v>
      </c>
      <c r="J75" s="41">
        <v>0.35</v>
      </c>
      <c r="K75" s="41">
        <v>2.1800000000000002</v>
      </c>
      <c r="L75" s="41">
        <v>142.4</v>
      </c>
      <c r="M75" s="41">
        <v>1.53</v>
      </c>
      <c r="N75" s="41">
        <v>3.58</v>
      </c>
      <c r="O75" s="41">
        <v>5.1920000000000002</v>
      </c>
    </row>
    <row r="76" spans="1:15">
      <c r="A76" t="s">
        <v>118</v>
      </c>
      <c r="B76" t="s">
        <v>338</v>
      </c>
      <c r="C76" t="s">
        <v>116</v>
      </c>
      <c r="D76" t="s">
        <v>323</v>
      </c>
      <c r="E76" t="s">
        <v>334</v>
      </c>
      <c r="F76" s="41">
        <v>0.34699999999999998</v>
      </c>
      <c r="G76" s="41">
        <v>1.9650000000000001</v>
      </c>
      <c r="H76" s="41">
        <v>1.8069999999999999</v>
      </c>
      <c r="I76" s="41">
        <v>0.39600000000000002</v>
      </c>
      <c r="J76" s="41">
        <v>0.35</v>
      </c>
      <c r="K76" s="41">
        <v>1.67</v>
      </c>
      <c r="L76" s="41">
        <v>126.2</v>
      </c>
      <c r="M76" s="41">
        <v>2.29</v>
      </c>
      <c r="N76" s="41">
        <v>3.38</v>
      </c>
      <c r="O76" s="41">
        <v>4.3140000000000001</v>
      </c>
    </row>
    <row r="77" spans="1:15">
      <c r="A77" t="s">
        <v>119</v>
      </c>
      <c r="B77" t="s">
        <v>338</v>
      </c>
      <c r="C77" t="s">
        <v>120</v>
      </c>
      <c r="D77" t="s">
        <v>156</v>
      </c>
      <c r="E77" t="s">
        <v>334</v>
      </c>
      <c r="F77" s="41">
        <v>0.33400000000000002</v>
      </c>
      <c r="G77" s="41">
        <v>2.2970000000000002</v>
      </c>
      <c r="H77" s="41">
        <v>1.7849999999999999</v>
      </c>
      <c r="I77" s="41">
        <v>0.41299999999999998</v>
      </c>
      <c r="J77" s="41">
        <v>0.26</v>
      </c>
      <c r="K77" s="41">
        <v>2.52</v>
      </c>
      <c r="L77" s="41">
        <v>132.9</v>
      </c>
      <c r="M77" s="41">
        <v>2.4300000000000002</v>
      </c>
      <c r="N77" s="41">
        <v>3.63</v>
      </c>
      <c r="O77" s="41">
        <v>5.1029999999999998</v>
      </c>
    </row>
    <row r="78" spans="1:15">
      <c r="A78" t="s">
        <v>121</v>
      </c>
      <c r="B78" t="s">
        <v>338</v>
      </c>
      <c r="C78" t="s">
        <v>120</v>
      </c>
      <c r="D78" t="s">
        <v>156</v>
      </c>
      <c r="E78" t="s">
        <v>334</v>
      </c>
      <c r="F78" s="41">
        <v>0.372</v>
      </c>
      <c r="G78" s="41">
        <v>1.9219999999999999</v>
      </c>
      <c r="H78" s="41">
        <v>1.9610000000000001</v>
      </c>
      <c r="I78" s="41">
        <v>0.53800000000000003</v>
      </c>
      <c r="J78" s="41">
        <v>0.37</v>
      </c>
      <c r="K78" s="41">
        <v>1.74</v>
      </c>
      <c r="L78" s="41">
        <v>151.80000000000001</v>
      </c>
      <c r="M78" s="41">
        <v>2.1800000000000002</v>
      </c>
      <c r="N78" s="41">
        <v>3.49</v>
      </c>
      <c r="O78" s="41">
        <v>4.3780000000000001</v>
      </c>
    </row>
    <row r="79" spans="1:15">
      <c r="A79" t="s">
        <v>122</v>
      </c>
      <c r="B79" t="s">
        <v>338</v>
      </c>
      <c r="C79" t="s">
        <v>120</v>
      </c>
      <c r="D79" t="s">
        <v>156</v>
      </c>
      <c r="E79" t="s">
        <v>334</v>
      </c>
      <c r="F79" s="41">
        <v>0.32400000000000001</v>
      </c>
      <c r="G79" s="41">
        <v>1.9870000000000001</v>
      </c>
      <c r="H79" s="41">
        <v>1.8839999999999999</v>
      </c>
      <c r="I79" s="41">
        <v>0.51800000000000002</v>
      </c>
      <c r="J79" s="41">
        <v>0.47</v>
      </c>
      <c r="K79" s="41">
        <v>2.02</v>
      </c>
      <c r="L79" s="41">
        <v>131.80000000000001</v>
      </c>
      <c r="M79" s="41">
        <v>2.44</v>
      </c>
      <c r="N79" s="41">
        <v>3.53</v>
      </c>
      <c r="O79" s="41">
        <v>4.6859999999999999</v>
      </c>
    </row>
    <row r="80" spans="1:15">
      <c r="A80" t="s">
        <v>123</v>
      </c>
      <c r="B80" t="s">
        <v>338</v>
      </c>
      <c r="C80" t="s">
        <v>124</v>
      </c>
      <c r="D80" t="s">
        <v>160</v>
      </c>
      <c r="E80" t="s">
        <v>334</v>
      </c>
      <c r="F80" s="41">
        <v>0.313</v>
      </c>
      <c r="G80" s="41">
        <v>1.681</v>
      </c>
      <c r="H80" s="41">
        <v>1.8480000000000001</v>
      </c>
      <c r="I80" s="41">
        <v>0.42</v>
      </c>
      <c r="J80" s="41">
        <v>0.25</v>
      </c>
      <c r="K80" s="41">
        <v>1.46</v>
      </c>
      <c r="L80" s="41">
        <v>145.80000000000001</v>
      </c>
      <c r="M80" s="41">
        <v>2.2999999999999998</v>
      </c>
      <c r="N80" s="41">
        <v>3.49</v>
      </c>
      <c r="O80" s="41">
        <v>3.86</v>
      </c>
    </row>
    <row r="81" spans="1:15">
      <c r="A81" t="s">
        <v>125</v>
      </c>
      <c r="B81" t="s">
        <v>338</v>
      </c>
      <c r="C81" t="s">
        <v>124</v>
      </c>
      <c r="D81" t="s">
        <v>160</v>
      </c>
      <c r="E81" t="s">
        <v>334</v>
      </c>
      <c r="F81" s="41">
        <v>0.37</v>
      </c>
      <c r="G81" s="41">
        <v>1.8080000000000001</v>
      </c>
      <c r="H81" s="41">
        <v>1.972</v>
      </c>
      <c r="I81" s="41">
        <v>0.56000000000000005</v>
      </c>
      <c r="J81" s="41">
        <v>0.28999999999999998</v>
      </c>
      <c r="K81" s="41">
        <v>1.77</v>
      </c>
      <c r="L81" s="41">
        <v>137.80000000000001</v>
      </c>
      <c r="M81" s="41">
        <v>2.94</v>
      </c>
      <c r="N81" s="41">
        <v>3.62</v>
      </c>
      <c r="O81" s="41">
        <v>4.3</v>
      </c>
    </row>
    <row r="82" spans="1:15">
      <c r="A82" t="s">
        <v>126</v>
      </c>
      <c r="B82" t="s">
        <v>338</v>
      </c>
      <c r="C82" t="s">
        <v>124</v>
      </c>
      <c r="D82" t="s">
        <v>160</v>
      </c>
      <c r="E82" t="s">
        <v>334</v>
      </c>
      <c r="F82" s="41">
        <v>0.33200000000000002</v>
      </c>
      <c r="G82" s="41">
        <v>1.8460000000000001</v>
      </c>
      <c r="H82" s="41">
        <v>1.95</v>
      </c>
      <c r="I82" s="41">
        <v>0.41599999999999998</v>
      </c>
      <c r="J82" s="41">
        <v>0.26</v>
      </c>
      <c r="K82" s="41">
        <v>1.71</v>
      </c>
      <c r="L82" s="41">
        <v>143.80000000000001</v>
      </c>
      <c r="M82" s="41">
        <v>2.52</v>
      </c>
      <c r="N82" s="41">
        <v>3.55</v>
      </c>
      <c r="O82" s="41">
        <v>4.0730000000000004</v>
      </c>
    </row>
    <row r="83" spans="1:15">
      <c r="A83" t="s">
        <v>127</v>
      </c>
      <c r="B83" t="s">
        <v>338</v>
      </c>
      <c r="C83" t="s">
        <v>128</v>
      </c>
      <c r="D83" t="s">
        <v>320</v>
      </c>
      <c r="E83" t="s">
        <v>331</v>
      </c>
      <c r="F83" s="41">
        <v>0.25700000000000001</v>
      </c>
      <c r="G83" s="41">
        <v>1.5149999999999999</v>
      </c>
      <c r="H83" s="41">
        <v>2.165</v>
      </c>
      <c r="I83" s="41">
        <v>0.22</v>
      </c>
      <c r="J83" s="41">
        <v>0</v>
      </c>
      <c r="K83" s="41">
        <v>0.44</v>
      </c>
      <c r="L83" s="41">
        <v>197.4</v>
      </c>
      <c r="M83" s="41">
        <v>1.02</v>
      </c>
      <c r="N83" s="41">
        <v>3.46</v>
      </c>
      <c r="O83" s="41">
        <v>2.5129999999999999</v>
      </c>
    </row>
    <row r="84" spans="1:15">
      <c r="A84" t="s">
        <v>129</v>
      </c>
      <c r="B84" t="s">
        <v>338</v>
      </c>
      <c r="C84" t="s">
        <v>128</v>
      </c>
      <c r="D84" t="s">
        <v>320</v>
      </c>
      <c r="E84" t="s">
        <v>331</v>
      </c>
      <c r="F84" s="41">
        <v>0.21299999999999999</v>
      </c>
      <c r="G84" s="41">
        <v>1.734</v>
      </c>
      <c r="H84" s="41">
        <v>2.0680000000000001</v>
      </c>
      <c r="I84" s="41">
        <v>0.312</v>
      </c>
      <c r="J84" s="41">
        <v>0</v>
      </c>
      <c r="K84" s="41">
        <v>0.3</v>
      </c>
      <c r="L84" s="41">
        <v>188.5</v>
      </c>
      <c r="M84" s="41">
        <v>0.7</v>
      </c>
      <c r="N84" s="41">
        <v>3.41</v>
      </c>
      <c r="O84" s="41">
        <v>2.4049999999999998</v>
      </c>
    </row>
    <row r="85" spans="1:15">
      <c r="A85" t="s">
        <v>130</v>
      </c>
      <c r="B85" t="s">
        <v>338</v>
      </c>
      <c r="C85" t="s">
        <v>128</v>
      </c>
      <c r="D85" t="s">
        <v>320</v>
      </c>
      <c r="E85" t="s">
        <v>331</v>
      </c>
      <c r="F85" s="41">
        <v>0.24</v>
      </c>
      <c r="G85" s="41">
        <v>1.5580000000000001</v>
      </c>
      <c r="H85" s="41">
        <v>2.1339999999999999</v>
      </c>
      <c r="I85" s="41">
        <v>0.377</v>
      </c>
      <c r="J85" s="41">
        <v>0.02</v>
      </c>
      <c r="K85" s="41">
        <v>0.33</v>
      </c>
      <c r="L85" s="41">
        <v>183.8</v>
      </c>
      <c r="M85" s="41">
        <v>0.14000000000000001</v>
      </c>
      <c r="N85" s="41">
        <v>3.77</v>
      </c>
      <c r="O85" s="41">
        <v>2.1110000000000002</v>
      </c>
    </row>
    <row r="86" spans="1:15">
      <c r="A86" t="s">
        <v>131</v>
      </c>
      <c r="B86" t="s">
        <v>338</v>
      </c>
      <c r="C86" t="s">
        <v>132</v>
      </c>
      <c r="D86" t="s">
        <v>132</v>
      </c>
      <c r="E86" t="s">
        <v>331</v>
      </c>
      <c r="F86" s="41">
        <v>0.26300000000000001</v>
      </c>
      <c r="G86" s="41">
        <v>1.5740000000000001</v>
      </c>
      <c r="H86" s="41">
        <v>2.12</v>
      </c>
      <c r="I86" s="41">
        <v>0.29399999999999998</v>
      </c>
      <c r="J86" s="41">
        <v>0.01</v>
      </c>
      <c r="K86" s="41">
        <v>0.28999999999999998</v>
      </c>
      <c r="L86" s="41">
        <v>164.2</v>
      </c>
      <c r="M86" s="41">
        <v>0.25</v>
      </c>
      <c r="N86" s="41">
        <v>3.81</v>
      </c>
      <c r="O86" s="41">
        <v>1.887</v>
      </c>
    </row>
    <row r="87" spans="1:15">
      <c r="A87" t="s">
        <v>133</v>
      </c>
      <c r="B87" t="s">
        <v>338</v>
      </c>
      <c r="C87" t="s">
        <v>132</v>
      </c>
      <c r="D87" t="s">
        <v>132</v>
      </c>
      <c r="E87" t="s">
        <v>331</v>
      </c>
      <c r="F87" s="41">
        <v>0.24299999999999999</v>
      </c>
      <c r="G87" s="41">
        <v>1.6839999999999999</v>
      </c>
      <c r="H87" s="41">
        <v>2.0449999999999999</v>
      </c>
      <c r="I87" s="41">
        <v>0.33300000000000002</v>
      </c>
      <c r="J87" s="41">
        <v>0</v>
      </c>
      <c r="K87" s="41">
        <v>0.32</v>
      </c>
      <c r="L87" s="41">
        <v>182.6</v>
      </c>
      <c r="M87" s="41">
        <v>0.2</v>
      </c>
      <c r="N87" s="41">
        <v>3.62</v>
      </c>
      <c r="O87" s="41">
        <v>2.0150000000000001</v>
      </c>
    </row>
    <row r="88" spans="1:15">
      <c r="A88" t="s">
        <v>134</v>
      </c>
      <c r="B88" t="s">
        <v>338</v>
      </c>
      <c r="C88" t="s">
        <v>132</v>
      </c>
      <c r="D88" t="s">
        <v>132</v>
      </c>
      <c r="E88" t="s">
        <v>331</v>
      </c>
      <c r="F88" s="41">
        <v>0.246</v>
      </c>
      <c r="G88" s="41">
        <v>2.0470000000000002</v>
      </c>
      <c r="H88" s="41">
        <v>2.0630000000000002</v>
      </c>
      <c r="I88" s="41">
        <v>0.28499999999999998</v>
      </c>
      <c r="J88" s="41">
        <v>0</v>
      </c>
      <c r="K88" s="41">
        <v>0.27</v>
      </c>
      <c r="L88" s="41">
        <v>180.9</v>
      </c>
      <c r="M88" s="41">
        <v>0.9</v>
      </c>
      <c r="N88" s="41">
        <v>3.74</v>
      </c>
      <c r="O88" s="41">
        <v>2.282</v>
      </c>
    </row>
    <row r="89" spans="1:15">
      <c r="A89" t="s">
        <v>135</v>
      </c>
      <c r="B89" t="s">
        <v>338</v>
      </c>
      <c r="C89" t="s">
        <v>136</v>
      </c>
      <c r="D89" t="s">
        <v>136</v>
      </c>
      <c r="E89" t="s">
        <v>331</v>
      </c>
      <c r="F89" s="41">
        <v>0.246</v>
      </c>
      <c r="G89" s="41">
        <v>1.425</v>
      </c>
      <c r="H89" s="41">
        <v>1.9350000000000001</v>
      </c>
      <c r="I89" s="41">
        <v>0.441</v>
      </c>
      <c r="J89" s="41">
        <v>0</v>
      </c>
      <c r="K89" s="41">
        <v>0.78</v>
      </c>
      <c r="L89" s="41">
        <v>160</v>
      </c>
      <c r="M89" s="41">
        <v>2.44</v>
      </c>
      <c r="N89" s="41">
        <v>3.87</v>
      </c>
      <c r="O89" s="41">
        <v>2.3580000000000001</v>
      </c>
    </row>
    <row r="90" spans="1:15">
      <c r="A90" t="s">
        <v>137</v>
      </c>
      <c r="B90" t="s">
        <v>338</v>
      </c>
      <c r="C90" t="s">
        <v>136</v>
      </c>
      <c r="D90" t="s">
        <v>136</v>
      </c>
      <c r="E90" t="s">
        <v>331</v>
      </c>
      <c r="F90" s="41">
        <v>0.25700000000000001</v>
      </c>
      <c r="G90" s="41">
        <v>1.472</v>
      </c>
      <c r="H90" s="41">
        <v>1.9670000000000001</v>
      </c>
      <c r="I90" s="41">
        <v>0.439</v>
      </c>
      <c r="J90" s="41">
        <v>0</v>
      </c>
      <c r="K90" s="41">
        <v>0.77</v>
      </c>
      <c r="L90" s="41">
        <v>141.5</v>
      </c>
      <c r="M90" s="41">
        <v>2.2000000000000002</v>
      </c>
      <c r="N90" s="41">
        <v>3.93</v>
      </c>
      <c r="O90" s="41">
        <v>2.2450000000000001</v>
      </c>
    </row>
    <row r="91" spans="1:15">
      <c r="A91" t="s">
        <v>138</v>
      </c>
      <c r="B91" t="s">
        <v>338</v>
      </c>
      <c r="C91" t="s">
        <v>136</v>
      </c>
      <c r="D91" t="s">
        <v>136</v>
      </c>
      <c r="E91" t="s">
        <v>331</v>
      </c>
      <c r="F91" s="41">
        <v>0.26800000000000002</v>
      </c>
      <c r="G91" s="41">
        <v>1.5029999999999999</v>
      </c>
      <c r="H91" s="41">
        <v>2.1309999999999998</v>
      </c>
      <c r="I91" s="41">
        <v>0.42</v>
      </c>
      <c r="J91" s="41">
        <v>0.2</v>
      </c>
      <c r="K91" s="41">
        <v>0.64</v>
      </c>
      <c r="L91" s="41">
        <v>175.3</v>
      </c>
      <c r="M91" s="41">
        <v>1.66</v>
      </c>
      <c r="N91" s="41">
        <v>3.81</v>
      </c>
      <c r="O91" s="41">
        <v>2.6339999999999999</v>
      </c>
    </row>
    <row r="92" spans="1:15">
      <c r="A92" t="s">
        <v>139</v>
      </c>
      <c r="B92" t="s">
        <v>338</v>
      </c>
      <c r="C92" t="s">
        <v>140</v>
      </c>
      <c r="D92" t="s">
        <v>321</v>
      </c>
      <c r="E92" t="s">
        <v>331</v>
      </c>
      <c r="F92" s="41">
        <v>0.221</v>
      </c>
      <c r="G92" s="41">
        <v>1.8380000000000001</v>
      </c>
      <c r="H92" s="41">
        <v>1.7909999999999999</v>
      </c>
      <c r="I92" s="41">
        <v>0.317</v>
      </c>
      <c r="J92" s="41">
        <v>0.22</v>
      </c>
      <c r="K92" s="41">
        <v>0.67</v>
      </c>
      <c r="L92" s="41">
        <v>156.5</v>
      </c>
      <c r="M92" s="41">
        <v>0.87</v>
      </c>
      <c r="N92" s="41">
        <v>3.69</v>
      </c>
      <c r="O92" s="41">
        <v>1.1499999999999999</v>
      </c>
    </row>
    <row r="93" spans="1:15">
      <c r="A93" t="s">
        <v>141</v>
      </c>
      <c r="B93" t="s">
        <v>338</v>
      </c>
      <c r="C93" t="s">
        <v>140</v>
      </c>
      <c r="D93" t="s">
        <v>321</v>
      </c>
      <c r="E93" t="s">
        <v>331</v>
      </c>
      <c r="F93" s="41">
        <v>0.216</v>
      </c>
      <c r="G93" s="41">
        <v>1.5549999999999999</v>
      </c>
      <c r="H93" s="41">
        <v>1.6870000000000001</v>
      </c>
      <c r="I93" s="41">
        <v>0.33800000000000002</v>
      </c>
      <c r="J93" s="41">
        <v>0.04</v>
      </c>
      <c r="K93" s="41">
        <v>0.72</v>
      </c>
      <c r="L93" s="41">
        <v>156.80000000000001</v>
      </c>
      <c r="M93" s="41">
        <v>0</v>
      </c>
      <c r="N93" s="41">
        <v>3.63</v>
      </c>
      <c r="O93" s="41">
        <v>1.9179999999999999</v>
      </c>
    </row>
    <row r="94" spans="1:15">
      <c r="A94" t="s">
        <v>142</v>
      </c>
      <c r="B94" t="s">
        <v>338</v>
      </c>
      <c r="C94" t="s">
        <v>140</v>
      </c>
      <c r="D94" t="s">
        <v>321</v>
      </c>
      <c r="E94" t="s">
        <v>331</v>
      </c>
      <c r="F94" s="41">
        <v>0.20699999999999999</v>
      </c>
      <c r="G94" s="41">
        <v>1.712</v>
      </c>
      <c r="H94" s="41">
        <v>1.5580000000000001</v>
      </c>
      <c r="I94" s="41">
        <v>0.39100000000000001</v>
      </c>
      <c r="J94" s="41">
        <v>0.02</v>
      </c>
      <c r="K94" s="41">
        <v>0.85</v>
      </c>
      <c r="L94" s="41">
        <v>142.30000000000001</v>
      </c>
      <c r="M94" s="41">
        <v>0.88</v>
      </c>
      <c r="N94" s="41">
        <v>3.44</v>
      </c>
      <c r="O94" s="41">
        <v>2.3170000000000002</v>
      </c>
    </row>
    <row r="95" spans="1:15">
      <c r="A95" t="s">
        <v>143</v>
      </c>
      <c r="B95" t="s">
        <v>338</v>
      </c>
      <c r="C95" t="s">
        <v>144</v>
      </c>
      <c r="D95" t="s">
        <v>322</v>
      </c>
      <c r="E95" t="s">
        <v>331</v>
      </c>
      <c r="F95" s="41">
        <v>0.23799999999999999</v>
      </c>
      <c r="G95" s="41">
        <v>1.59</v>
      </c>
      <c r="H95" s="41">
        <v>2.077</v>
      </c>
      <c r="I95" s="41">
        <v>0.29599999999999999</v>
      </c>
      <c r="J95" s="41">
        <v>0.02</v>
      </c>
      <c r="K95" s="41">
        <v>0.43</v>
      </c>
      <c r="L95" s="41">
        <v>180.1</v>
      </c>
      <c r="M95" s="41">
        <v>0</v>
      </c>
      <c r="N95" s="41">
        <v>3.6</v>
      </c>
      <c r="O95" s="41">
        <v>1.9750000000000001</v>
      </c>
    </row>
    <row r="96" spans="1:15">
      <c r="A96" t="s">
        <v>145</v>
      </c>
      <c r="B96" t="s">
        <v>338</v>
      </c>
      <c r="C96" t="s">
        <v>144</v>
      </c>
      <c r="D96" t="s">
        <v>322</v>
      </c>
      <c r="E96" t="s">
        <v>331</v>
      </c>
      <c r="F96" s="41">
        <v>0.20599999999999999</v>
      </c>
      <c r="G96" s="41">
        <v>1.9530000000000001</v>
      </c>
      <c r="H96" s="41">
        <v>2.085</v>
      </c>
      <c r="I96" s="41">
        <v>0.33500000000000002</v>
      </c>
      <c r="J96" s="41">
        <v>0.03</v>
      </c>
      <c r="K96" s="41">
        <v>0.44</v>
      </c>
      <c r="L96" s="41">
        <v>189.2</v>
      </c>
      <c r="M96" s="41">
        <v>0</v>
      </c>
      <c r="N96" s="41">
        <v>3.41</v>
      </c>
      <c r="O96" s="41">
        <v>2.0760000000000001</v>
      </c>
    </row>
    <row r="97" spans="1:15">
      <c r="A97" t="s">
        <v>146</v>
      </c>
      <c r="B97" t="s">
        <v>338</v>
      </c>
      <c r="C97" t="s">
        <v>144</v>
      </c>
      <c r="D97" t="s">
        <v>322</v>
      </c>
      <c r="E97" t="s">
        <v>331</v>
      </c>
      <c r="F97" s="41">
        <v>0.23200000000000001</v>
      </c>
      <c r="G97" s="41">
        <v>1.8120000000000001</v>
      </c>
      <c r="H97" s="41">
        <v>2.1829999999999998</v>
      </c>
      <c r="I97" s="41">
        <v>0.29299999999999998</v>
      </c>
      <c r="J97" s="41">
        <v>0.01</v>
      </c>
      <c r="K97" s="41">
        <v>0.52</v>
      </c>
      <c r="L97" s="41">
        <v>210.3</v>
      </c>
      <c r="M97" s="41">
        <v>0</v>
      </c>
      <c r="N97" s="41">
        <v>3.63</v>
      </c>
      <c r="O97" s="41">
        <v>1.9370000000000001</v>
      </c>
    </row>
    <row r="98" spans="1:15">
      <c r="A98" t="s">
        <v>147</v>
      </c>
      <c r="B98" t="s">
        <v>338</v>
      </c>
      <c r="C98" t="s">
        <v>148</v>
      </c>
      <c r="D98" t="s">
        <v>148</v>
      </c>
      <c r="E98" t="s">
        <v>331</v>
      </c>
      <c r="F98" s="41">
        <v>0.26200000000000001</v>
      </c>
      <c r="G98" s="41">
        <v>1.667</v>
      </c>
      <c r="H98" s="41">
        <v>2.0139999999999998</v>
      </c>
      <c r="I98" s="41">
        <v>0.38900000000000001</v>
      </c>
      <c r="J98" s="41">
        <v>0.01</v>
      </c>
      <c r="K98" s="41">
        <v>0.74</v>
      </c>
      <c r="L98" s="41">
        <v>204.3</v>
      </c>
      <c r="M98" s="41">
        <v>0.7</v>
      </c>
      <c r="N98" s="41">
        <v>3.62</v>
      </c>
      <c r="O98" s="41">
        <v>1.929</v>
      </c>
    </row>
    <row r="99" spans="1:15">
      <c r="A99" t="s">
        <v>149</v>
      </c>
      <c r="B99" t="s">
        <v>338</v>
      </c>
      <c r="C99" t="s">
        <v>148</v>
      </c>
      <c r="D99" t="s">
        <v>148</v>
      </c>
      <c r="E99" t="s">
        <v>331</v>
      </c>
      <c r="F99" s="41">
        <v>0.26300000000000001</v>
      </c>
      <c r="G99" s="41">
        <v>1.5249999999999999</v>
      </c>
      <c r="H99" s="41">
        <v>1.8979999999999999</v>
      </c>
      <c r="I99" s="41">
        <v>0.36</v>
      </c>
      <c r="J99" s="41">
        <v>0.05</v>
      </c>
      <c r="K99" s="41">
        <v>0.63</v>
      </c>
      <c r="L99" s="41">
        <v>157.6</v>
      </c>
      <c r="M99" s="41">
        <v>0.21</v>
      </c>
      <c r="N99" s="41">
        <v>3.71</v>
      </c>
      <c r="O99" s="41">
        <v>1.92</v>
      </c>
    </row>
    <row r="100" spans="1:15">
      <c r="A100" t="s">
        <v>150</v>
      </c>
      <c r="B100" t="s">
        <v>338</v>
      </c>
      <c r="C100" t="s">
        <v>148</v>
      </c>
      <c r="D100" t="s">
        <v>148</v>
      </c>
      <c r="E100" t="s">
        <v>331</v>
      </c>
      <c r="F100" s="41">
        <v>0.26300000000000001</v>
      </c>
      <c r="G100" s="41">
        <v>1.9419999999999999</v>
      </c>
      <c r="H100" s="41">
        <v>2.1230000000000002</v>
      </c>
      <c r="I100" s="41">
        <v>0.32600000000000001</v>
      </c>
      <c r="J100" s="41">
        <v>0</v>
      </c>
      <c r="K100" s="41">
        <v>0.56999999999999995</v>
      </c>
      <c r="L100" s="41">
        <v>188.2</v>
      </c>
      <c r="M100" s="41">
        <v>0</v>
      </c>
      <c r="N100" s="41">
        <v>3.5</v>
      </c>
      <c r="O100" s="41">
        <v>2.0190000000000001</v>
      </c>
    </row>
    <row r="101" spans="1:15">
      <c r="A101" t="s">
        <v>151</v>
      </c>
      <c r="B101" t="s">
        <v>338</v>
      </c>
      <c r="C101" t="s">
        <v>152</v>
      </c>
      <c r="D101" t="s">
        <v>323</v>
      </c>
      <c r="E101" t="s">
        <v>331</v>
      </c>
      <c r="F101" s="41">
        <v>0.216</v>
      </c>
      <c r="G101" s="41">
        <v>1.5449999999999999</v>
      </c>
      <c r="H101" s="41">
        <v>1.6739999999999999</v>
      </c>
      <c r="I101" s="41">
        <v>0.32600000000000001</v>
      </c>
      <c r="J101" s="41">
        <v>0.01</v>
      </c>
      <c r="K101" s="41">
        <v>0.77</v>
      </c>
      <c r="L101" s="41">
        <v>147.5</v>
      </c>
      <c r="M101" s="41">
        <v>0.88</v>
      </c>
      <c r="N101" s="41">
        <v>3.59</v>
      </c>
      <c r="O101" s="41">
        <v>2.234</v>
      </c>
    </row>
    <row r="102" spans="1:15">
      <c r="A102" t="s">
        <v>153</v>
      </c>
      <c r="B102" t="s">
        <v>338</v>
      </c>
      <c r="C102" t="s">
        <v>152</v>
      </c>
      <c r="D102" t="s">
        <v>323</v>
      </c>
      <c r="E102" t="s">
        <v>331</v>
      </c>
      <c r="F102" s="41">
        <v>0.24399999999999999</v>
      </c>
      <c r="G102" s="41">
        <v>1.53</v>
      </c>
      <c r="H102" s="41">
        <v>1.8080000000000001</v>
      </c>
      <c r="I102" s="41">
        <v>0.45700000000000002</v>
      </c>
      <c r="J102" s="41">
        <v>0</v>
      </c>
      <c r="K102" s="41">
        <v>0.88</v>
      </c>
      <c r="L102" s="41">
        <v>160</v>
      </c>
      <c r="M102" s="41">
        <v>0.92</v>
      </c>
      <c r="N102" s="41">
        <v>3.71</v>
      </c>
      <c r="O102" s="41">
        <v>2.3740000000000001</v>
      </c>
    </row>
    <row r="103" spans="1:15">
      <c r="A103" t="s">
        <v>154</v>
      </c>
      <c r="B103" t="s">
        <v>338</v>
      </c>
      <c r="C103" t="s">
        <v>152</v>
      </c>
      <c r="D103" t="s">
        <v>323</v>
      </c>
      <c r="E103" t="s">
        <v>331</v>
      </c>
      <c r="F103" s="41">
        <v>0.25700000000000001</v>
      </c>
      <c r="G103" s="41">
        <v>1.6060000000000001</v>
      </c>
      <c r="H103" s="41">
        <v>1.7350000000000001</v>
      </c>
      <c r="I103" s="41">
        <v>0.40899999999999997</v>
      </c>
      <c r="J103" s="41">
        <v>0</v>
      </c>
      <c r="K103" s="41">
        <v>0.56999999999999995</v>
      </c>
      <c r="L103" s="41">
        <v>109.5</v>
      </c>
      <c r="M103" s="41">
        <v>0</v>
      </c>
      <c r="N103" s="41">
        <v>3.68</v>
      </c>
      <c r="O103" s="41">
        <v>2.347</v>
      </c>
    </row>
    <row r="104" spans="1:15">
      <c r="A104" t="s">
        <v>155</v>
      </c>
      <c r="B104" t="s">
        <v>338</v>
      </c>
      <c r="C104" t="s">
        <v>156</v>
      </c>
      <c r="D104" t="s">
        <v>156</v>
      </c>
      <c r="E104" t="s">
        <v>331</v>
      </c>
      <c r="F104" s="41">
        <v>0.30599999999999999</v>
      </c>
      <c r="G104" s="41">
        <v>2.2549999999999999</v>
      </c>
      <c r="H104" s="41">
        <v>1.758</v>
      </c>
      <c r="I104" s="41">
        <v>0.47599999999999998</v>
      </c>
      <c r="J104" s="41">
        <v>0.86</v>
      </c>
      <c r="K104" s="41">
        <v>2.31</v>
      </c>
      <c r="L104" s="41">
        <v>114.9</v>
      </c>
      <c r="M104" s="41">
        <v>0</v>
      </c>
      <c r="N104" s="41">
        <v>3.71</v>
      </c>
      <c r="O104" s="41">
        <v>5.085</v>
      </c>
    </row>
    <row r="105" spans="1:15">
      <c r="A105" t="s">
        <v>157</v>
      </c>
      <c r="B105" t="s">
        <v>338</v>
      </c>
      <c r="C105" t="s">
        <v>156</v>
      </c>
      <c r="D105" t="s">
        <v>156</v>
      </c>
      <c r="E105" t="s">
        <v>331</v>
      </c>
      <c r="F105" s="41">
        <v>0.307</v>
      </c>
      <c r="G105" s="41">
        <v>2.7570000000000001</v>
      </c>
      <c r="H105" s="41">
        <v>1.8440000000000001</v>
      </c>
      <c r="I105" s="41">
        <v>0.499</v>
      </c>
      <c r="J105" s="41">
        <v>1.35</v>
      </c>
      <c r="K105" s="41">
        <v>2.67</v>
      </c>
      <c r="L105" s="41">
        <v>126.4</v>
      </c>
      <c r="M105" s="41">
        <v>0</v>
      </c>
      <c r="N105" s="41">
        <v>3.73</v>
      </c>
      <c r="O105" s="41">
        <v>6.0860000000000003</v>
      </c>
    </row>
    <row r="106" spans="1:15">
      <c r="A106" t="s">
        <v>158</v>
      </c>
      <c r="B106" t="s">
        <v>338</v>
      </c>
      <c r="C106" t="s">
        <v>156</v>
      </c>
      <c r="D106" t="s">
        <v>156</v>
      </c>
      <c r="E106" t="s">
        <v>331</v>
      </c>
      <c r="F106" s="41">
        <v>0.35099999999999998</v>
      </c>
      <c r="G106" s="41">
        <v>2.93</v>
      </c>
      <c r="H106" s="41">
        <v>1.9410000000000001</v>
      </c>
      <c r="I106" s="41">
        <v>0.58699999999999997</v>
      </c>
      <c r="J106" s="41">
        <v>2.54</v>
      </c>
      <c r="K106" s="41">
        <v>3.9</v>
      </c>
      <c r="L106" s="41">
        <v>150.4</v>
      </c>
      <c r="M106" s="41">
        <v>0</v>
      </c>
      <c r="N106" s="41">
        <v>3.65</v>
      </c>
      <c r="O106" s="41">
        <v>6.4809999999999999</v>
      </c>
    </row>
    <row r="107" spans="1:15">
      <c r="A107" t="s">
        <v>159</v>
      </c>
      <c r="B107" t="s">
        <v>338</v>
      </c>
      <c r="C107" t="s">
        <v>160</v>
      </c>
      <c r="D107" t="s">
        <v>160</v>
      </c>
      <c r="E107" t="s">
        <v>331</v>
      </c>
      <c r="F107" s="41">
        <v>0.26</v>
      </c>
      <c r="G107" s="41">
        <v>1.5529999999999999</v>
      </c>
      <c r="H107" s="41">
        <v>1.9750000000000001</v>
      </c>
      <c r="I107" s="41">
        <v>0.42799999999999999</v>
      </c>
      <c r="J107" s="41">
        <v>0.06</v>
      </c>
      <c r="K107" s="41">
        <v>0.63</v>
      </c>
      <c r="L107" s="41">
        <v>164.2</v>
      </c>
      <c r="M107" s="41">
        <v>0</v>
      </c>
      <c r="N107" s="41">
        <v>3.66</v>
      </c>
      <c r="O107" s="41">
        <v>2.319</v>
      </c>
    </row>
    <row r="108" spans="1:15">
      <c r="A108" t="s">
        <v>161</v>
      </c>
      <c r="B108" t="s">
        <v>338</v>
      </c>
      <c r="C108" t="s">
        <v>160</v>
      </c>
      <c r="D108" t="s">
        <v>160</v>
      </c>
      <c r="E108" t="s">
        <v>331</v>
      </c>
      <c r="F108" s="41">
        <v>0.25</v>
      </c>
      <c r="G108" s="41">
        <v>1.57</v>
      </c>
      <c r="H108" s="41">
        <v>1.946</v>
      </c>
      <c r="I108" s="41">
        <v>0.39400000000000002</v>
      </c>
      <c r="J108" s="41">
        <v>0.05</v>
      </c>
      <c r="K108" s="41">
        <v>0.57999999999999996</v>
      </c>
      <c r="L108" s="41">
        <v>158.9</v>
      </c>
      <c r="M108" s="41">
        <v>0</v>
      </c>
      <c r="N108" s="41">
        <v>3.66</v>
      </c>
      <c r="O108" s="41">
        <v>2.4220000000000002</v>
      </c>
    </row>
    <row r="109" spans="1:15">
      <c r="A109" t="s">
        <v>162</v>
      </c>
      <c r="B109" t="s">
        <v>338</v>
      </c>
      <c r="C109" t="s">
        <v>160</v>
      </c>
      <c r="D109" t="s">
        <v>160</v>
      </c>
      <c r="E109" t="s">
        <v>331</v>
      </c>
      <c r="F109" s="41">
        <v>0.24399999999999999</v>
      </c>
      <c r="G109" s="41">
        <v>1.657</v>
      </c>
      <c r="H109" s="41">
        <v>1.8360000000000001</v>
      </c>
      <c r="I109" s="41">
        <v>0.38900000000000001</v>
      </c>
      <c r="J109" s="41">
        <v>0.05</v>
      </c>
      <c r="K109" s="41">
        <v>0.52</v>
      </c>
      <c r="L109" s="41">
        <v>151.4</v>
      </c>
      <c r="M109" s="41">
        <v>0</v>
      </c>
      <c r="N109" s="41">
        <v>3.57</v>
      </c>
      <c r="O109" s="41">
        <v>2.0670000000000002</v>
      </c>
    </row>
    <row r="110" spans="1:15">
      <c r="A110" t="s">
        <v>163</v>
      </c>
      <c r="B110" t="s">
        <v>338</v>
      </c>
      <c r="C110" t="s">
        <v>164</v>
      </c>
      <c r="D110" t="s">
        <v>320</v>
      </c>
      <c r="E110" t="s">
        <v>335</v>
      </c>
      <c r="F110" s="41">
        <v>0.39400000000000002</v>
      </c>
      <c r="G110" s="41">
        <v>2.5089999999999999</v>
      </c>
      <c r="H110" s="41">
        <v>2.2669999999999999</v>
      </c>
      <c r="I110" s="41">
        <v>0.24299999999999999</v>
      </c>
      <c r="J110" s="41">
        <v>1.7</v>
      </c>
      <c r="K110" s="41">
        <v>0.69</v>
      </c>
      <c r="L110" s="41">
        <v>187.5</v>
      </c>
      <c r="M110" s="41">
        <v>0.16</v>
      </c>
      <c r="N110" s="41">
        <v>3.31</v>
      </c>
      <c r="O110" s="41">
        <v>3.5859999999999999</v>
      </c>
    </row>
    <row r="111" spans="1:15">
      <c r="A111" t="s">
        <v>165</v>
      </c>
      <c r="B111" t="s">
        <v>338</v>
      </c>
      <c r="C111" t="s">
        <v>164</v>
      </c>
      <c r="D111" t="s">
        <v>320</v>
      </c>
      <c r="E111" t="s">
        <v>335</v>
      </c>
      <c r="F111" s="41">
        <v>0.36099999999999999</v>
      </c>
      <c r="G111" s="41">
        <v>2.246</v>
      </c>
      <c r="H111" s="41">
        <v>2.1349999999999998</v>
      </c>
      <c r="I111" s="41">
        <v>0.36899999999999999</v>
      </c>
      <c r="J111" s="41">
        <v>0.72</v>
      </c>
      <c r="K111" s="41">
        <v>0.56000000000000005</v>
      </c>
      <c r="L111" s="41">
        <v>158.80000000000001</v>
      </c>
      <c r="M111" s="41">
        <v>0.18</v>
      </c>
      <c r="N111" s="41">
        <v>3.23</v>
      </c>
      <c r="O111" s="41">
        <v>2.8919999999999999</v>
      </c>
    </row>
    <row r="112" spans="1:15">
      <c r="A112" t="s">
        <v>166</v>
      </c>
      <c r="B112" t="str">
        <f t="shared" ref="B112:B174" si="0">B111</f>
        <v>Trial 1</v>
      </c>
      <c r="C112" t="s">
        <v>164</v>
      </c>
      <c r="D112" t="s">
        <v>320</v>
      </c>
      <c r="E112" t="s">
        <v>335</v>
      </c>
      <c r="F112" s="41">
        <v>0.37</v>
      </c>
      <c r="G112" s="41">
        <v>2.5640000000000001</v>
      </c>
      <c r="H112" s="41">
        <v>2.2639999999999998</v>
      </c>
      <c r="I112" s="41">
        <v>0.4</v>
      </c>
      <c r="J112" s="41">
        <v>0.83</v>
      </c>
      <c r="K112" s="41">
        <v>0.52</v>
      </c>
      <c r="L112" s="41">
        <v>135.4</v>
      </c>
      <c r="M112" s="41">
        <v>0.1</v>
      </c>
      <c r="N112" s="41">
        <v>3.24</v>
      </c>
      <c r="O112" s="41">
        <v>3.3580000000000001</v>
      </c>
    </row>
    <row r="113" spans="1:15">
      <c r="A113" t="s">
        <v>167</v>
      </c>
      <c r="B113" t="str">
        <f t="shared" si="0"/>
        <v>Trial 1</v>
      </c>
      <c r="C113" t="s">
        <v>168</v>
      </c>
      <c r="D113" t="s">
        <v>320</v>
      </c>
      <c r="E113" t="s">
        <v>335</v>
      </c>
      <c r="F113" s="41">
        <v>0.33600000000000002</v>
      </c>
      <c r="G113" s="41">
        <v>2.6429999999999998</v>
      </c>
      <c r="H113" s="41">
        <v>2.1459999999999999</v>
      </c>
      <c r="I113" s="41">
        <v>0.313</v>
      </c>
      <c r="J113" s="41">
        <v>1</v>
      </c>
      <c r="K113" s="41">
        <v>0.54</v>
      </c>
      <c r="L113" s="41">
        <v>173</v>
      </c>
      <c r="M113" s="41">
        <v>0</v>
      </c>
      <c r="N113" s="41">
        <v>3.27</v>
      </c>
      <c r="O113" s="41">
        <v>3.7690000000000001</v>
      </c>
    </row>
    <row r="114" spans="1:15">
      <c r="A114" t="s">
        <v>169</v>
      </c>
      <c r="B114" t="str">
        <f t="shared" si="0"/>
        <v>Trial 1</v>
      </c>
      <c r="C114" t="s">
        <v>168</v>
      </c>
      <c r="D114" t="s">
        <v>320</v>
      </c>
      <c r="E114" t="s">
        <v>335</v>
      </c>
      <c r="F114" s="41">
        <v>0.38600000000000001</v>
      </c>
      <c r="G114" s="41">
        <v>2.6269999999999998</v>
      </c>
      <c r="H114" s="41">
        <v>2.3759999999999999</v>
      </c>
      <c r="I114" s="41">
        <v>0.37</v>
      </c>
      <c r="J114" s="41">
        <v>1.26</v>
      </c>
      <c r="K114" s="41">
        <v>0.6</v>
      </c>
      <c r="L114" s="41">
        <v>193.5</v>
      </c>
      <c r="M114" s="41">
        <v>0</v>
      </c>
      <c r="N114" s="41">
        <v>3.42</v>
      </c>
      <c r="O114" s="41">
        <v>3.3479999999999999</v>
      </c>
    </row>
    <row r="115" spans="1:15">
      <c r="A115" t="s">
        <v>170</v>
      </c>
      <c r="B115" t="str">
        <f t="shared" si="0"/>
        <v>Trial 1</v>
      </c>
      <c r="C115" t="s">
        <v>168</v>
      </c>
      <c r="D115" t="s">
        <v>320</v>
      </c>
      <c r="E115" t="s">
        <v>335</v>
      </c>
      <c r="F115" s="41">
        <v>0.36599999999999999</v>
      </c>
      <c r="G115" s="41">
        <v>2.774</v>
      </c>
      <c r="H115" s="41">
        <v>2.2429999999999999</v>
      </c>
      <c r="I115" s="41">
        <v>0.33700000000000002</v>
      </c>
      <c r="J115" s="41">
        <v>1.59</v>
      </c>
      <c r="K115" s="41">
        <v>0.65</v>
      </c>
      <c r="L115" s="41">
        <v>179.4</v>
      </c>
      <c r="M115" s="41">
        <v>0</v>
      </c>
      <c r="N115" s="41">
        <v>3.25</v>
      </c>
      <c r="O115" s="41">
        <v>3.8959999999999999</v>
      </c>
    </row>
    <row r="116" spans="1:15">
      <c r="A116" t="s">
        <v>171</v>
      </c>
      <c r="B116" t="str">
        <f t="shared" si="0"/>
        <v>Trial 1</v>
      </c>
      <c r="C116" t="s">
        <v>172</v>
      </c>
      <c r="D116" t="s">
        <v>320</v>
      </c>
      <c r="E116" t="s">
        <v>335</v>
      </c>
      <c r="F116" s="41">
        <v>0.32700000000000001</v>
      </c>
      <c r="G116" s="41">
        <v>2.1379999999999999</v>
      </c>
      <c r="H116" s="41">
        <v>2.1739999999999999</v>
      </c>
      <c r="I116" s="41">
        <v>0.29399999999999998</v>
      </c>
      <c r="J116" s="41">
        <v>0.78</v>
      </c>
      <c r="K116" s="41">
        <v>0.47</v>
      </c>
      <c r="L116" s="41">
        <v>192.6</v>
      </c>
      <c r="M116" s="41">
        <v>0</v>
      </c>
      <c r="N116" s="41">
        <v>3.31</v>
      </c>
      <c r="O116" s="41">
        <v>3.0960000000000001</v>
      </c>
    </row>
    <row r="117" spans="1:15">
      <c r="A117" t="s">
        <v>173</v>
      </c>
      <c r="B117" t="str">
        <f t="shared" si="0"/>
        <v>Trial 1</v>
      </c>
      <c r="C117" t="s">
        <v>172</v>
      </c>
      <c r="D117" t="s">
        <v>320</v>
      </c>
      <c r="E117" t="s">
        <v>335</v>
      </c>
      <c r="F117" s="41">
        <v>0.32200000000000001</v>
      </c>
      <c r="G117" s="41">
        <v>2.589</v>
      </c>
      <c r="H117" s="41">
        <v>2.238</v>
      </c>
      <c r="I117" s="41">
        <v>0.32800000000000001</v>
      </c>
      <c r="J117" s="41">
        <v>1.25</v>
      </c>
      <c r="K117" s="41">
        <v>0.43</v>
      </c>
      <c r="L117" s="41">
        <v>208</v>
      </c>
      <c r="M117" s="41">
        <v>0.09</v>
      </c>
      <c r="N117" s="41">
        <v>3.38</v>
      </c>
      <c r="O117" s="41">
        <v>3.363</v>
      </c>
    </row>
    <row r="118" spans="1:15">
      <c r="A118" t="s">
        <v>174</v>
      </c>
      <c r="B118" t="str">
        <f t="shared" si="0"/>
        <v>Trial 1</v>
      </c>
      <c r="C118" t="s">
        <v>172</v>
      </c>
      <c r="D118" t="s">
        <v>320</v>
      </c>
      <c r="E118" t="s">
        <v>335</v>
      </c>
      <c r="F118" s="41">
        <v>0.30099999999999999</v>
      </c>
      <c r="G118" s="41">
        <v>2.258</v>
      </c>
      <c r="H118" s="41">
        <v>2.1560000000000001</v>
      </c>
      <c r="I118" s="41">
        <v>0.31</v>
      </c>
      <c r="J118" s="41">
        <v>0.77</v>
      </c>
      <c r="K118" s="41">
        <v>0.38</v>
      </c>
      <c r="L118" s="41">
        <v>189.5</v>
      </c>
      <c r="M118" s="41">
        <v>0.12</v>
      </c>
      <c r="N118" s="41">
        <v>3.31</v>
      </c>
      <c r="O118" s="41">
        <v>3.0419999999999998</v>
      </c>
    </row>
    <row r="119" spans="1:15">
      <c r="A119" t="s">
        <v>175</v>
      </c>
      <c r="B119" t="str">
        <f t="shared" si="0"/>
        <v>Trial 1</v>
      </c>
      <c r="C119" t="s">
        <v>176</v>
      </c>
      <c r="D119" t="s">
        <v>320</v>
      </c>
      <c r="E119" t="s">
        <v>336</v>
      </c>
      <c r="F119" s="41">
        <v>0.23300000000000001</v>
      </c>
      <c r="G119" s="41">
        <v>1.837</v>
      </c>
      <c r="H119" s="41">
        <v>2.343</v>
      </c>
      <c r="I119" s="41">
        <v>0.152</v>
      </c>
      <c r="J119" s="41">
        <v>0</v>
      </c>
      <c r="K119" s="41">
        <v>0.3</v>
      </c>
      <c r="L119" s="41">
        <v>221.4</v>
      </c>
      <c r="M119" s="41">
        <v>0</v>
      </c>
      <c r="N119" s="41">
        <v>3.74</v>
      </c>
      <c r="O119" s="41">
        <v>2.02</v>
      </c>
    </row>
    <row r="120" spans="1:15">
      <c r="A120" t="s">
        <v>177</v>
      </c>
      <c r="B120" t="str">
        <f t="shared" si="0"/>
        <v>Trial 1</v>
      </c>
      <c r="C120" t="s">
        <v>176</v>
      </c>
      <c r="D120" t="s">
        <v>320</v>
      </c>
      <c r="E120" t="s">
        <v>336</v>
      </c>
      <c r="F120" s="41">
        <v>0.23300000000000001</v>
      </c>
      <c r="G120" s="41">
        <v>2.1739999999999999</v>
      </c>
      <c r="H120" s="41">
        <v>2.5550000000000002</v>
      </c>
      <c r="I120" s="41">
        <v>0.28000000000000003</v>
      </c>
      <c r="J120" s="41">
        <v>0</v>
      </c>
      <c r="K120" s="41">
        <v>0.27</v>
      </c>
      <c r="L120" s="41">
        <v>222.2</v>
      </c>
      <c r="M120" s="41">
        <v>0</v>
      </c>
      <c r="N120" s="41">
        <v>3.74</v>
      </c>
      <c r="O120" s="41">
        <v>2.2759999999999998</v>
      </c>
    </row>
    <row r="121" spans="1:15">
      <c r="A121" t="s">
        <v>178</v>
      </c>
      <c r="B121" t="str">
        <f t="shared" si="0"/>
        <v>Trial 1</v>
      </c>
      <c r="C121" t="s">
        <v>176</v>
      </c>
      <c r="D121" t="s">
        <v>320</v>
      </c>
      <c r="E121" t="s">
        <v>336</v>
      </c>
      <c r="F121" s="41">
        <v>0.218</v>
      </c>
      <c r="G121" s="41">
        <v>2.1269999999999998</v>
      </c>
      <c r="H121" s="41">
        <v>2.42</v>
      </c>
      <c r="I121" s="41">
        <v>0.26800000000000002</v>
      </c>
      <c r="J121" s="41">
        <v>0.02</v>
      </c>
      <c r="K121" s="41">
        <v>0.44</v>
      </c>
      <c r="L121" s="41">
        <v>220.1</v>
      </c>
      <c r="M121" s="41">
        <v>0</v>
      </c>
      <c r="N121" s="41">
        <v>3.65</v>
      </c>
      <c r="O121" s="41">
        <v>2.1379999999999999</v>
      </c>
    </row>
    <row r="122" spans="1:15">
      <c r="A122" t="s">
        <v>179</v>
      </c>
      <c r="B122" t="str">
        <f t="shared" si="0"/>
        <v>Trial 1</v>
      </c>
      <c r="C122" t="s">
        <v>180</v>
      </c>
      <c r="D122" t="s">
        <v>320</v>
      </c>
      <c r="E122" t="s">
        <v>336</v>
      </c>
      <c r="F122" s="41">
        <v>0.28299999999999997</v>
      </c>
      <c r="G122" s="41">
        <v>2.3919999999999999</v>
      </c>
      <c r="H122" s="41">
        <v>2.1309999999999998</v>
      </c>
      <c r="I122" s="41">
        <v>0.24099999999999999</v>
      </c>
      <c r="J122" s="41">
        <v>0.67</v>
      </c>
      <c r="K122" s="41">
        <v>0.56000000000000005</v>
      </c>
      <c r="L122" s="41">
        <v>181.1</v>
      </c>
      <c r="M122" s="41">
        <v>0.15</v>
      </c>
      <c r="N122" s="41">
        <v>3.31</v>
      </c>
      <c r="O122" s="41">
        <v>2.835</v>
      </c>
    </row>
    <row r="123" spans="1:15">
      <c r="A123" t="s">
        <v>181</v>
      </c>
      <c r="B123" t="str">
        <f t="shared" si="0"/>
        <v>Trial 1</v>
      </c>
      <c r="C123" t="s">
        <v>180</v>
      </c>
      <c r="D123" t="s">
        <v>320</v>
      </c>
      <c r="E123" t="s">
        <v>336</v>
      </c>
      <c r="F123" s="41">
        <v>0.34699999999999998</v>
      </c>
      <c r="G123" s="41">
        <v>2.6230000000000002</v>
      </c>
      <c r="H123" s="41">
        <v>2.0870000000000002</v>
      </c>
      <c r="I123" s="41">
        <v>0.27200000000000002</v>
      </c>
      <c r="J123" s="41">
        <v>1.01</v>
      </c>
      <c r="K123" s="41">
        <v>0.64</v>
      </c>
      <c r="L123" s="41">
        <v>178.9</v>
      </c>
      <c r="M123" s="41">
        <v>0.19</v>
      </c>
      <c r="N123" s="41">
        <v>3.26</v>
      </c>
      <c r="O123" s="41">
        <v>3.3079999999999998</v>
      </c>
    </row>
    <row r="124" spans="1:15">
      <c r="A124" t="s">
        <v>182</v>
      </c>
      <c r="B124" t="str">
        <f t="shared" si="0"/>
        <v>Trial 1</v>
      </c>
      <c r="C124" t="s">
        <v>180</v>
      </c>
      <c r="D124" t="s">
        <v>320</v>
      </c>
      <c r="E124" t="s">
        <v>336</v>
      </c>
      <c r="F124" s="41">
        <v>0.34899999999999998</v>
      </c>
      <c r="G124" s="41">
        <v>2.6</v>
      </c>
      <c r="H124" s="41">
        <v>2.157</v>
      </c>
      <c r="I124" s="41">
        <v>0.35799999999999998</v>
      </c>
      <c r="J124" s="41">
        <v>0.64</v>
      </c>
      <c r="K124" s="41">
        <v>0.55000000000000004</v>
      </c>
      <c r="L124" s="41">
        <v>180.4</v>
      </c>
      <c r="M124" s="41">
        <v>0.06</v>
      </c>
      <c r="N124" s="41">
        <v>3.24</v>
      </c>
      <c r="O124" s="41">
        <v>3.4289999999999998</v>
      </c>
    </row>
    <row r="125" spans="1:15">
      <c r="A125" t="s">
        <v>183</v>
      </c>
      <c r="B125" t="str">
        <f t="shared" si="0"/>
        <v>Trial 1</v>
      </c>
      <c r="C125" t="s">
        <v>184</v>
      </c>
      <c r="D125" t="s">
        <v>320</v>
      </c>
      <c r="E125" t="s">
        <v>336</v>
      </c>
      <c r="F125" s="41">
        <v>0.30199999999999999</v>
      </c>
      <c r="G125" s="41">
        <v>1.647</v>
      </c>
      <c r="H125" s="41">
        <v>2.4889999999999999</v>
      </c>
      <c r="I125" s="41">
        <v>0.32600000000000001</v>
      </c>
      <c r="J125" s="41">
        <v>0</v>
      </c>
      <c r="K125" s="41">
        <v>0.37</v>
      </c>
      <c r="L125" s="41">
        <v>228.4</v>
      </c>
      <c r="M125" s="41">
        <v>0</v>
      </c>
      <c r="N125" s="41">
        <v>3.77</v>
      </c>
      <c r="O125" s="41">
        <v>1.97</v>
      </c>
    </row>
    <row r="126" spans="1:15">
      <c r="A126" t="s">
        <v>185</v>
      </c>
      <c r="B126" t="str">
        <f t="shared" si="0"/>
        <v>Trial 1</v>
      </c>
      <c r="C126" t="s">
        <v>184</v>
      </c>
      <c r="D126" t="s">
        <v>320</v>
      </c>
      <c r="E126" t="s">
        <v>336</v>
      </c>
      <c r="F126" s="41">
        <v>0.24199999999999999</v>
      </c>
      <c r="G126" s="41">
        <v>1.6539999999999999</v>
      </c>
      <c r="H126" s="41">
        <v>2.5099999999999998</v>
      </c>
      <c r="I126" s="41">
        <v>0.28499999999999998</v>
      </c>
      <c r="J126" s="41">
        <v>0</v>
      </c>
      <c r="K126" s="41">
        <v>0.41</v>
      </c>
      <c r="L126" s="41">
        <v>232.8</v>
      </c>
      <c r="M126" s="41">
        <v>0.08</v>
      </c>
      <c r="N126" s="41">
        <v>3.74</v>
      </c>
      <c r="O126" s="41">
        <v>2.5419999999999998</v>
      </c>
    </row>
    <row r="127" spans="1:15">
      <c r="A127" t="s">
        <v>186</v>
      </c>
      <c r="B127" t="str">
        <f t="shared" si="0"/>
        <v>Trial 1</v>
      </c>
      <c r="C127" t="s">
        <v>184</v>
      </c>
      <c r="D127" t="s">
        <v>320</v>
      </c>
      <c r="E127" t="s">
        <v>336</v>
      </c>
      <c r="F127" s="41">
        <v>0.246</v>
      </c>
      <c r="G127" s="41">
        <v>1.6859999999999999</v>
      </c>
      <c r="H127" s="41">
        <v>2.5790000000000002</v>
      </c>
      <c r="I127" s="41">
        <v>0.23599999999999999</v>
      </c>
      <c r="J127" s="41">
        <v>0.01</v>
      </c>
      <c r="K127" s="41">
        <v>0.36</v>
      </c>
      <c r="L127" s="41">
        <v>237.1</v>
      </c>
      <c r="M127" s="41">
        <v>0</v>
      </c>
      <c r="N127" s="41">
        <v>3.7</v>
      </c>
      <c r="O127" s="41">
        <v>2.0139999999999998</v>
      </c>
    </row>
    <row r="128" spans="1:15">
      <c r="A128" t="s">
        <v>163</v>
      </c>
      <c r="B128" t="str">
        <f t="shared" si="0"/>
        <v>Trial 1</v>
      </c>
      <c r="C128" t="s">
        <v>164</v>
      </c>
      <c r="D128" t="s">
        <v>132</v>
      </c>
      <c r="E128" t="s">
        <v>335</v>
      </c>
      <c r="F128" s="41">
        <v>0.39400000000000002</v>
      </c>
      <c r="G128" s="41">
        <v>2.5089999999999999</v>
      </c>
      <c r="H128" s="41">
        <v>2.2669999999999999</v>
      </c>
      <c r="I128" s="41">
        <v>0.24299999999999999</v>
      </c>
      <c r="J128" s="41">
        <v>1.7</v>
      </c>
      <c r="K128" s="41">
        <v>0.69</v>
      </c>
      <c r="L128" s="41">
        <v>187.5</v>
      </c>
      <c r="M128" s="41">
        <v>0.16</v>
      </c>
      <c r="N128" s="41">
        <v>3.31</v>
      </c>
      <c r="O128" s="41">
        <v>3.5859999999999999</v>
      </c>
    </row>
    <row r="129" spans="1:15">
      <c r="A129" t="s">
        <v>165</v>
      </c>
      <c r="B129" t="str">
        <f t="shared" si="0"/>
        <v>Trial 1</v>
      </c>
      <c r="C129" t="s">
        <v>164</v>
      </c>
      <c r="D129" t="s">
        <v>132</v>
      </c>
      <c r="E129" t="s">
        <v>335</v>
      </c>
      <c r="F129" s="41">
        <v>0.36099999999999999</v>
      </c>
      <c r="G129" s="41">
        <v>2.246</v>
      </c>
      <c r="H129" s="41">
        <v>2.1349999999999998</v>
      </c>
      <c r="I129" s="41">
        <v>0.36899999999999999</v>
      </c>
      <c r="J129" s="41">
        <v>0.72</v>
      </c>
      <c r="K129" s="41">
        <v>0.56000000000000005</v>
      </c>
      <c r="L129" s="41">
        <v>158.80000000000001</v>
      </c>
      <c r="M129" s="41">
        <v>0.18</v>
      </c>
      <c r="N129" s="41">
        <v>3.23</v>
      </c>
      <c r="O129" s="41">
        <v>2.8919999999999999</v>
      </c>
    </row>
    <row r="130" spans="1:15">
      <c r="A130" t="s">
        <v>166</v>
      </c>
      <c r="B130" t="str">
        <f t="shared" si="0"/>
        <v>Trial 1</v>
      </c>
      <c r="C130" t="s">
        <v>164</v>
      </c>
      <c r="D130" t="s">
        <v>132</v>
      </c>
      <c r="E130" t="s">
        <v>335</v>
      </c>
      <c r="F130" s="41">
        <v>0.37</v>
      </c>
      <c r="G130" s="41">
        <v>2.5640000000000001</v>
      </c>
      <c r="H130" s="41">
        <v>2.2639999999999998</v>
      </c>
      <c r="I130" s="41">
        <v>0.4</v>
      </c>
      <c r="J130" s="41">
        <v>0.83</v>
      </c>
      <c r="K130" s="41">
        <v>0.52</v>
      </c>
      <c r="L130" s="41">
        <v>135.4</v>
      </c>
      <c r="M130" s="41">
        <v>0.1</v>
      </c>
      <c r="N130" s="41">
        <v>3.24</v>
      </c>
      <c r="O130" s="41">
        <v>3.3580000000000001</v>
      </c>
    </row>
    <row r="131" spans="1:15">
      <c r="A131" t="s">
        <v>167</v>
      </c>
      <c r="B131" t="str">
        <f t="shared" si="0"/>
        <v>Trial 1</v>
      </c>
      <c r="C131" t="s">
        <v>168</v>
      </c>
      <c r="D131" t="s">
        <v>132</v>
      </c>
      <c r="E131" t="s">
        <v>335</v>
      </c>
      <c r="F131" s="41">
        <v>0.33600000000000002</v>
      </c>
      <c r="G131" s="41">
        <v>2.6429999999999998</v>
      </c>
      <c r="H131" s="41">
        <v>2.1459999999999999</v>
      </c>
      <c r="I131" s="41">
        <v>0.313</v>
      </c>
      <c r="J131" s="41">
        <v>1</v>
      </c>
      <c r="K131" s="41">
        <v>0.54</v>
      </c>
      <c r="L131" s="41">
        <v>173</v>
      </c>
      <c r="M131" s="41">
        <v>0</v>
      </c>
      <c r="N131" s="41">
        <v>3.27</v>
      </c>
      <c r="O131" s="41">
        <v>3.7690000000000001</v>
      </c>
    </row>
    <row r="132" spans="1:15">
      <c r="A132" t="s">
        <v>169</v>
      </c>
      <c r="B132" t="str">
        <f t="shared" si="0"/>
        <v>Trial 1</v>
      </c>
      <c r="C132" t="s">
        <v>168</v>
      </c>
      <c r="D132" t="s">
        <v>132</v>
      </c>
      <c r="E132" t="s">
        <v>335</v>
      </c>
      <c r="F132" s="41">
        <v>0.38600000000000001</v>
      </c>
      <c r="G132" s="41">
        <v>2.6269999999999998</v>
      </c>
      <c r="H132" s="41">
        <v>2.3759999999999999</v>
      </c>
      <c r="I132" s="41">
        <v>0.37</v>
      </c>
      <c r="J132" s="41">
        <v>1.26</v>
      </c>
      <c r="K132" s="41">
        <v>0.6</v>
      </c>
      <c r="L132" s="41">
        <v>193.5</v>
      </c>
      <c r="M132" s="41">
        <v>0</v>
      </c>
      <c r="N132" s="41">
        <v>3.42</v>
      </c>
      <c r="O132" s="41">
        <v>3.3479999999999999</v>
      </c>
    </row>
    <row r="133" spans="1:15">
      <c r="A133" t="s">
        <v>170</v>
      </c>
      <c r="B133" t="str">
        <f t="shared" si="0"/>
        <v>Trial 1</v>
      </c>
      <c r="C133" t="s">
        <v>168</v>
      </c>
      <c r="D133" t="s">
        <v>132</v>
      </c>
      <c r="E133" t="s">
        <v>335</v>
      </c>
      <c r="F133" s="41">
        <v>0.36599999999999999</v>
      </c>
      <c r="G133" s="41">
        <v>2.774</v>
      </c>
      <c r="H133" s="41">
        <v>2.2429999999999999</v>
      </c>
      <c r="I133" s="41">
        <v>0.33700000000000002</v>
      </c>
      <c r="J133" s="41">
        <v>1.59</v>
      </c>
      <c r="K133" s="41">
        <v>0.65</v>
      </c>
      <c r="L133" s="41">
        <v>179.4</v>
      </c>
      <c r="M133" s="41">
        <v>0</v>
      </c>
      <c r="N133" s="41">
        <v>3.25</v>
      </c>
      <c r="O133" s="41">
        <v>3.8959999999999999</v>
      </c>
    </row>
    <row r="134" spans="1:15">
      <c r="A134" t="s">
        <v>171</v>
      </c>
      <c r="B134" t="str">
        <f t="shared" si="0"/>
        <v>Trial 1</v>
      </c>
      <c r="C134" t="s">
        <v>172</v>
      </c>
      <c r="D134" t="s">
        <v>132</v>
      </c>
      <c r="E134" t="s">
        <v>335</v>
      </c>
      <c r="F134" s="41">
        <v>0.32700000000000001</v>
      </c>
      <c r="G134" s="41">
        <v>2.1379999999999999</v>
      </c>
      <c r="H134" s="41">
        <v>2.1739999999999999</v>
      </c>
      <c r="I134" s="41">
        <v>0.29399999999999998</v>
      </c>
      <c r="J134" s="41">
        <v>0.78</v>
      </c>
      <c r="K134" s="41">
        <v>0.47</v>
      </c>
      <c r="L134" s="41">
        <v>192.6</v>
      </c>
      <c r="M134" s="41">
        <v>0</v>
      </c>
      <c r="N134" s="41">
        <v>3.31</v>
      </c>
      <c r="O134" s="41">
        <v>3.0960000000000001</v>
      </c>
    </row>
    <row r="135" spans="1:15">
      <c r="A135" t="s">
        <v>173</v>
      </c>
      <c r="B135" t="str">
        <f t="shared" si="0"/>
        <v>Trial 1</v>
      </c>
      <c r="C135" t="s">
        <v>172</v>
      </c>
      <c r="D135" t="s">
        <v>132</v>
      </c>
      <c r="E135" t="s">
        <v>335</v>
      </c>
      <c r="F135" s="41">
        <v>0.32200000000000001</v>
      </c>
      <c r="G135" s="41">
        <v>2.589</v>
      </c>
      <c r="H135" s="41">
        <v>2.238</v>
      </c>
      <c r="I135" s="41">
        <v>0.32800000000000001</v>
      </c>
      <c r="J135" s="41">
        <v>1.25</v>
      </c>
      <c r="K135" s="41">
        <v>0.43</v>
      </c>
      <c r="L135" s="41">
        <v>208</v>
      </c>
      <c r="M135" s="41">
        <v>0.09</v>
      </c>
      <c r="N135" s="41">
        <v>3.38</v>
      </c>
      <c r="O135" s="41">
        <v>3.363</v>
      </c>
    </row>
    <row r="136" spans="1:15">
      <c r="A136" t="s">
        <v>174</v>
      </c>
      <c r="B136" t="str">
        <f t="shared" si="0"/>
        <v>Trial 1</v>
      </c>
      <c r="C136" t="s">
        <v>172</v>
      </c>
      <c r="D136" t="s">
        <v>132</v>
      </c>
      <c r="E136" t="s">
        <v>335</v>
      </c>
      <c r="F136" s="41">
        <v>0.30099999999999999</v>
      </c>
      <c r="G136" s="41">
        <v>2.258</v>
      </c>
      <c r="H136" s="41">
        <v>2.1560000000000001</v>
      </c>
      <c r="I136" s="41">
        <v>0.31</v>
      </c>
      <c r="J136" s="41">
        <v>0.77</v>
      </c>
      <c r="K136" s="41">
        <v>0.38</v>
      </c>
      <c r="L136" s="41">
        <v>189.5</v>
      </c>
      <c r="M136" s="41">
        <v>0.12</v>
      </c>
      <c r="N136" s="41">
        <v>3.31</v>
      </c>
      <c r="O136" s="41">
        <v>3.0419999999999998</v>
      </c>
    </row>
    <row r="137" spans="1:15">
      <c r="A137" t="s">
        <v>175</v>
      </c>
      <c r="B137" t="str">
        <f t="shared" si="0"/>
        <v>Trial 1</v>
      </c>
      <c r="C137" t="s">
        <v>176</v>
      </c>
      <c r="D137" t="s">
        <v>132</v>
      </c>
      <c r="E137" t="s">
        <v>336</v>
      </c>
      <c r="F137" s="41">
        <v>0.23300000000000001</v>
      </c>
      <c r="G137" s="41">
        <v>1.837</v>
      </c>
      <c r="H137" s="41">
        <v>2.343</v>
      </c>
      <c r="I137" s="41">
        <v>0.152</v>
      </c>
      <c r="J137" s="41">
        <v>0</v>
      </c>
      <c r="K137" s="41">
        <v>0.3</v>
      </c>
      <c r="L137" s="41">
        <v>221.4</v>
      </c>
      <c r="M137" s="41">
        <v>0</v>
      </c>
      <c r="N137" s="41">
        <v>3.74</v>
      </c>
      <c r="O137" s="41">
        <v>2.02</v>
      </c>
    </row>
    <row r="138" spans="1:15">
      <c r="A138" t="s">
        <v>177</v>
      </c>
      <c r="B138" t="str">
        <f t="shared" si="0"/>
        <v>Trial 1</v>
      </c>
      <c r="C138" t="s">
        <v>176</v>
      </c>
      <c r="D138" t="s">
        <v>132</v>
      </c>
      <c r="E138" t="s">
        <v>336</v>
      </c>
      <c r="F138" s="41">
        <v>0.23300000000000001</v>
      </c>
      <c r="G138" s="41">
        <v>2.1739999999999999</v>
      </c>
      <c r="H138" s="41">
        <v>2.5550000000000002</v>
      </c>
      <c r="I138" s="41">
        <v>0.28000000000000003</v>
      </c>
      <c r="J138" s="41">
        <v>0</v>
      </c>
      <c r="K138" s="41">
        <v>0.27</v>
      </c>
      <c r="L138" s="41">
        <v>222.2</v>
      </c>
      <c r="M138" s="41">
        <v>0</v>
      </c>
      <c r="N138" s="41">
        <v>3.74</v>
      </c>
      <c r="O138" s="41">
        <v>2.2759999999999998</v>
      </c>
    </row>
    <row r="139" spans="1:15">
      <c r="A139" t="s">
        <v>178</v>
      </c>
      <c r="B139" t="str">
        <f t="shared" si="0"/>
        <v>Trial 1</v>
      </c>
      <c r="C139" t="s">
        <v>176</v>
      </c>
      <c r="D139" t="s">
        <v>132</v>
      </c>
      <c r="E139" t="s">
        <v>336</v>
      </c>
      <c r="F139" s="41">
        <v>0.218</v>
      </c>
      <c r="G139" s="41">
        <v>2.1269999999999998</v>
      </c>
      <c r="H139" s="41">
        <v>2.42</v>
      </c>
      <c r="I139" s="41">
        <v>0.26800000000000002</v>
      </c>
      <c r="J139" s="41">
        <v>0.02</v>
      </c>
      <c r="K139" s="41">
        <v>0.44</v>
      </c>
      <c r="L139" s="41">
        <v>220.1</v>
      </c>
      <c r="M139" s="41">
        <v>0</v>
      </c>
      <c r="N139" s="41">
        <v>3.65</v>
      </c>
      <c r="O139" s="41">
        <v>2.1379999999999999</v>
      </c>
    </row>
    <row r="140" spans="1:15">
      <c r="A140" t="s">
        <v>179</v>
      </c>
      <c r="B140" t="str">
        <f t="shared" si="0"/>
        <v>Trial 1</v>
      </c>
      <c r="C140" t="s">
        <v>180</v>
      </c>
      <c r="D140" t="s">
        <v>132</v>
      </c>
      <c r="E140" t="s">
        <v>336</v>
      </c>
      <c r="F140" s="41">
        <v>0.28299999999999997</v>
      </c>
      <c r="G140" s="41">
        <v>2.3919999999999999</v>
      </c>
      <c r="H140" s="41">
        <v>2.1309999999999998</v>
      </c>
      <c r="I140" s="41">
        <v>0.24099999999999999</v>
      </c>
      <c r="J140" s="41">
        <v>0.67</v>
      </c>
      <c r="K140" s="41">
        <v>0.56000000000000005</v>
      </c>
      <c r="L140" s="41">
        <v>181.1</v>
      </c>
      <c r="M140" s="41">
        <v>0.15</v>
      </c>
      <c r="N140" s="41">
        <v>3.31</v>
      </c>
      <c r="O140" s="41">
        <v>2.835</v>
      </c>
    </row>
    <row r="141" spans="1:15">
      <c r="A141" t="s">
        <v>181</v>
      </c>
      <c r="B141" t="str">
        <f t="shared" si="0"/>
        <v>Trial 1</v>
      </c>
      <c r="C141" t="s">
        <v>180</v>
      </c>
      <c r="D141" t="s">
        <v>132</v>
      </c>
      <c r="E141" t="s">
        <v>336</v>
      </c>
      <c r="F141" s="41">
        <v>0.34699999999999998</v>
      </c>
      <c r="G141" s="41">
        <v>2.6230000000000002</v>
      </c>
      <c r="H141" s="41">
        <v>2.0870000000000002</v>
      </c>
      <c r="I141" s="41">
        <v>0.27200000000000002</v>
      </c>
      <c r="J141" s="41">
        <v>1.01</v>
      </c>
      <c r="K141" s="41">
        <v>0.64</v>
      </c>
      <c r="L141" s="41">
        <v>178.9</v>
      </c>
      <c r="M141" s="41">
        <v>0.19</v>
      </c>
      <c r="N141" s="41">
        <v>3.26</v>
      </c>
      <c r="O141" s="41">
        <v>3.3079999999999998</v>
      </c>
    </row>
    <row r="142" spans="1:15">
      <c r="A142" t="s">
        <v>182</v>
      </c>
      <c r="B142" t="str">
        <f t="shared" si="0"/>
        <v>Trial 1</v>
      </c>
      <c r="C142" t="s">
        <v>180</v>
      </c>
      <c r="D142" t="s">
        <v>132</v>
      </c>
      <c r="E142" t="s">
        <v>336</v>
      </c>
      <c r="F142" s="41">
        <v>0.34899999999999998</v>
      </c>
      <c r="G142" s="41">
        <v>2.6</v>
      </c>
      <c r="H142" s="41">
        <v>2.157</v>
      </c>
      <c r="I142" s="41">
        <v>0.35799999999999998</v>
      </c>
      <c r="J142" s="41">
        <v>0.64</v>
      </c>
      <c r="K142" s="41">
        <v>0.55000000000000004</v>
      </c>
      <c r="L142" s="41">
        <v>180.4</v>
      </c>
      <c r="M142" s="41">
        <v>0.06</v>
      </c>
      <c r="N142" s="41">
        <v>3.24</v>
      </c>
      <c r="O142" s="41">
        <v>3.4289999999999998</v>
      </c>
    </row>
    <row r="143" spans="1:15">
      <c r="A143" t="s">
        <v>183</v>
      </c>
      <c r="B143" t="str">
        <f t="shared" si="0"/>
        <v>Trial 1</v>
      </c>
      <c r="C143" t="s">
        <v>184</v>
      </c>
      <c r="D143" t="s">
        <v>132</v>
      </c>
      <c r="E143" t="s">
        <v>336</v>
      </c>
      <c r="F143" s="41">
        <v>0.30199999999999999</v>
      </c>
      <c r="G143" s="41">
        <v>1.647</v>
      </c>
      <c r="H143" s="41">
        <v>2.4889999999999999</v>
      </c>
      <c r="I143" s="41">
        <v>0.32600000000000001</v>
      </c>
      <c r="J143" s="41">
        <v>0</v>
      </c>
      <c r="K143" s="41">
        <v>0.37</v>
      </c>
      <c r="L143" s="41">
        <v>228.4</v>
      </c>
      <c r="M143" s="41">
        <v>0</v>
      </c>
      <c r="N143" s="41">
        <v>3.77</v>
      </c>
      <c r="O143" s="41">
        <v>1.97</v>
      </c>
    </row>
    <row r="144" spans="1:15">
      <c r="A144" t="s">
        <v>185</v>
      </c>
      <c r="B144" t="str">
        <f t="shared" si="0"/>
        <v>Trial 1</v>
      </c>
      <c r="C144" t="s">
        <v>184</v>
      </c>
      <c r="D144" t="s">
        <v>132</v>
      </c>
      <c r="E144" t="s">
        <v>336</v>
      </c>
      <c r="F144" s="41">
        <v>0.24199999999999999</v>
      </c>
      <c r="G144" s="41">
        <v>1.6539999999999999</v>
      </c>
      <c r="H144" s="41">
        <v>2.5099999999999998</v>
      </c>
      <c r="I144" s="41">
        <v>0.28499999999999998</v>
      </c>
      <c r="J144" s="41">
        <v>0</v>
      </c>
      <c r="K144" s="41">
        <v>0.41</v>
      </c>
      <c r="L144" s="41">
        <v>232.8</v>
      </c>
      <c r="M144" s="41">
        <v>0.08</v>
      </c>
      <c r="N144" s="41">
        <v>3.74</v>
      </c>
      <c r="O144" s="41">
        <v>2.5419999999999998</v>
      </c>
    </row>
    <row r="145" spans="1:15">
      <c r="A145" t="s">
        <v>186</v>
      </c>
      <c r="B145" t="str">
        <f t="shared" si="0"/>
        <v>Trial 1</v>
      </c>
      <c r="C145" t="s">
        <v>184</v>
      </c>
      <c r="D145" t="s">
        <v>132</v>
      </c>
      <c r="E145" t="s">
        <v>336</v>
      </c>
      <c r="F145" s="41">
        <v>0.246</v>
      </c>
      <c r="G145" s="41">
        <v>1.6859999999999999</v>
      </c>
      <c r="H145" s="41">
        <v>2.5790000000000002</v>
      </c>
      <c r="I145" s="41">
        <v>0.23599999999999999</v>
      </c>
      <c r="J145" s="41">
        <v>0.01</v>
      </c>
      <c r="K145" s="41">
        <v>0.36</v>
      </c>
      <c r="L145" s="41">
        <v>237.1</v>
      </c>
      <c r="M145" s="41">
        <v>0</v>
      </c>
      <c r="N145" s="41">
        <v>3.7</v>
      </c>
      <c r="O145" s="41">
        <v>2.0139999999999998</v>
      </c>
    </row>
    <row r="146" spans="1:15">
      <c r="A146" t="s">
        <v>163</v>
      </c>
      <c r="B146" t="str">
        <f t="shared" si="0"/>
        <v>Trial 1</v>
      </c>
      <c r="C146" t="s">
        <v>164</v>
      </c>
      <c r="D146" t="s">
        <v>136</v>
      </c>
      <c r="E146" t="s">
        <v>335</v>
      </c>
      <c r="F146" s="41">
        <v>0.39400000000000002</v>
      </c>
      <c r="G146" s="41">
        <v>2.5089999999999999</v>
      </c>
      <c r="H146" s="41">
        <v>2.2669999999999999</v>
      </c>
      <c r="I146" s="41">
        <v>0.24299999999999999</v>
      </c>
      <c r="J146" s="41">
        <v>1.7</v>
      </c>
      <c r="K146" s="41">
        <v>0.69</v>
      </c>
      <c r="L146" s="41">
        <v>187.5</v>
      </c>
      <c r="M146" s="41">
        <v>0.16</v>
      </c>
      <c r="N146" s="41">
        <v>3.31</v>
      </c>
      <c r="O146" s="41">
        <v>3.5859999999999999</v>
      </c>
    </row>
    <row r="147" spans="1:15">
      <c r="A147" t="s">
        <v>165</v>
      </c>
      <c r="B147" t="str">
        <f t="shared" si="0"/>
        <v>Trial 1</v>
      </c>
      <c r="C147" t="s">
        <v>164</v>
      </c>
      <c r="D147" t="s">
        <v>136</v>
      </c>
      <c r="E147" t="s">
        <v>335</v>
      </c>
      <c r="F147" s="41">
        <v>0.36099999999999999</v>
      </c>
      <c r="G147" s="41">
        <v>2.246</v>
      </c>
      <c r="H147" s="41">
        <v>2.1349999999999998</v>
      </c>
      <c r="I147" s="41">
        <v>0.36899999999999999</v>
      </c>
      <c r="J147" s="41">
        <v>0.72</v>
      </c>
      <c r="K147" s="41">
        <v>0.56000000000000005</v>
      </c>
      <c r="L147" s="41">
        <v>158.80000000000001</v>
      </c>
      <c r="M147" s="41">
        <v>0.18</v>
      </c>
      <c r="N147" s="41">
        <v>3.23</v>
      </c>
      <c r="O147" s="41">
        <v>2.8919999999999999</v>
      </c>
    </row>
    <row r="148" spans="1:15">
      <c r="A148" t="s">
        <v>166</v>
      </c>
      <c r="B148" t="str">
        <f t="shared" si="0"/>
        <v>Trial 1</v>
      </c>
      <c r="C148" t="s">
        <v>164</v>
      </c>
      <c r="D148" t="s">
        <v>136</v>
      </c>
      <c r="E148" t="s">
        <v>335</v>
      </c>
      <c r="F148" s="41">
        <v>0.37</v>
      </c>
      <c r="G148" s="41">
        <v>2.5640000000000001</v>
      </c>
      <c r="H148" s="41">
        <v>2.2639999999999998</v>
      </c>
      <c r="I148" s="41">
        <v>0.4</v>
      </c>
      <c r="J148" s="41">
        <v>0.83</v>
      </c>
      <c r="K148" s="41">
        <v>0.52</v>
      </c>
      <c r="L148" s="41">
        <v>135.4</v>
      </c>
      <c r="M148" s="41">
        <v>0.1</v>
      </c>
      <c r="N148" s="41">
        <v>3.24</v>
      </c>
      <c r="O148" s="41">
        <v>3.3580000000000001</v>
      </c>
    </row>
    <row r="149" spans="1:15">
      <c r="A149" t="s">
        <v>167</v>
      </c>
      <c r="B149" t="str">
        <f t="shared" si="0"/>
        <v>Trial 1</v>
      </c>
      <c r="C149" t="s">
        <v>168</v>
      </c>
      <c r="D149" t="s">
        <v>136</v>
      </c>
      <c r="E149" t="s">
        <v>335</v>
      </c>
      <c r="F149" s="41">
        <v>0.33600000000000002</v>
      </c>
      <c r="G149" s="41">
        <v>2.6429999999999998</v>
      </c>
      <c r="H149" s="41">
        <v>2.1459999999999999</v>
      </c>
      <c r="I149" s="41">
        <v>0.313</v>
      </c>
      <c r="J149" s="41">
        <v>1</v>
      </c>
      <c r="K149" s="41">
        <v>0.54</v>
      </c>
      <c r="L149" s="41">
        <v>173</v>
      </c>
      <c r="M149" s="41">
        <v>0</v>
      </c>
      <c r="N149" s="41">
        <v>3.27</v>
      </c>
      <c r="O149" s="41">
        <v>3.7690000000000001</v>
      </c>
    </row>
    <row r="150" spans="1:15">
      <c r="A150" t="s">
        <v>169</v>
      </c>
      <c r="B150" t="str">
        <f t="shared" si="0"/>
        <v>Trial 1</v>
      </c>
      <c r="C150" t="s">
        <v>168</v>
      </c>
      <c r="D150" t="s">
        <v>136</v>
      </c>
      <c r="E150" t="s">
        <v>335</v>
      </c>
      <c r="F150" s="41">
        <v>0.38600000000000001</v>
      </c>
      <c r="G150" s="41">
        <v>2.6269999999999998</v>
      </c>
      <c r="H150" s="41">
        <v>2.3759999999999999</v>
      </c>
      <c r="I150" s="41">
        <v>0.37</v>
      </c>
      <c r="J150" s="41">
        <v>1.26</v>
      </c>
      <c r="K150" s="41">
        <v>0.6</v>
      </c>
      <c r="L150" s="41">
        <v>193.5</v>
      </c>
      <c r="M150" s="41">
        <v>0</v>
      </c>
      <c r="N150" s="41">
        <v>3.42</v>
      </c>
      <c r="O150" s="41">
        <v>3.3479999999999999</v>
      </c>
    </row>
    <row r="151" spans="1:15">
      <c r="A151" t="s">
        <v>170</v>
      </c>
      <c r="B151" t="str">
        <f t="shared" si="0"/>
        <v>Trial 1</v>
      </c>
      <c r="C151" t="s">
        <v>168</v>
      </c>
      <c r="D151" t="s">
        <v>136</v>
      </c>
      <c r="E151" t="s">
        <v>335</v>
      </c>
      <c r="F151" s="41">
        <v>0.36599999999999999</v>
      </c>
      <c r="G151" s="41">
        <v>2.774</v>
      </c>
      <c r="H151" s="41">
        <v>2.2429999999999999</v>
      </c>
      <c r="I151" s="41">
        <v>0.33700000000000002</v>
      </c>
      <c r="J151" s="41">
        <v>1.59</v>
      </c>
      <c r="K151" s="41">
        <v>0.65</v>
      </c>
      <c r="L151" s="41">
        <v>179.4</v>
      </c>
      <c r="M151" s="41">
        <v>0</v>
      </c>
      <c r="N151" s="41">
        <v>3.25</v>
      </c>
      <c r="O151" s="41">
        <v>3.8959999999999999</v>
      </c>
    </row>
    <row r="152" spans="1:15">
      <c r="A152" t="s">
        <v>171</v>
      </c>
      <c r="B152" t="str">
        <f t="shared" si="0"/>
        <v>Trial 1</v>
      </c>
      <c r="C152" t="s">
        <v>172</v>
      </c>
      <c r="D152" t="s">
        <v>136</v>
      </c>
      <c r="E152" t="s">
        <v>335</v>
      </c>
      <c r="F152" s="41">
        <v>0.32700000000000001</v>
      </c>
      <c r="G152" s="41">
        <v>2.1379999999999999</v>
      </c>
      <c r="H152" s="41">
        <v>2.1739999999999999</v>
      </c>
      <c r="I152" s="41">
        <v>0.29399999999999998</v>
      </c>
      <c r="J152" s="41">
        <v>0.78</v>
      </c>
      <c r="K152" s="41">
        <v>0.47</v>
      </c>
      <c r="L152" s="41">
        <v>192.6</v>
      </c>
      <c r="M152" s="41">
        <v>0</v>
      </c>
      <c r="N152" s="41">
        <v>3.31</v>
      </c>
      <c r="O152" s="41">
        <v>3.0960000000000001</v>
      </c>
    </row>
    <row r="153" spans="1:15">
      <c r="A153" t="s">
        <v>173</v>
      </c>
      <c r="B153" t="str">
        <f t="shared" si="0"/>
        <v>Trial 1</v>
      </c>
      <c r="C153" t="s">
        <v>172</v>
      </c>
      <c r="D153" t="s">
        <v>136</v>
      </c>
      <c r="E153" t="s">
        <v>335</v>
      </c>
      <c r="F153" s="41">
        <v>0.32200000000000001</v>
      </c>
      <c r="G153" s="41">
        <v>2.589</v>
      </c>
      <c r="H153" s="41">
        <v>2.238</v>
      </c>
      <c r="I153" s="41">
        <v>0.32800000000000001</v>
      </c>
      <c r="J153" s="41">
        <v>1.25</v>
      </c>
      <c r="K153" s="41">
        <v>0.43</v>
      </c>
      <c r="L153" s="41">
        <v>208</v>
      </c>
      <c r="M153" s="41">
        <v>0.09</v>
      </c>
      <c r="N153" s="41">
        <v>3.38</v>
      </c>
      <c r="O153" s="41">
        <v>3.363</v>
      </c>
    </row>
    <row r="154" spans="1:15">
      <c r="A154" t="s">
        <v>174</v>
      </c>
      <c r="B154" t="str">
        <f t="shared" si="0"/>
        <v>Trial 1</v>
      </c>
      <c r="C154" t="s">
        <v>172</v>
      </c>
      <c r="D154" t="s">
        <v>136</v>
      </c>
      <c r="E154" t="s">
        <v>335</v>
      </c>
      <c r="F154" s="41">
        <v>0.30099999999999999</v>
      </c>
      <c r="G154" s="41">
        <v>2.258</v>
      </c>
      <c r="H154" s="41">
        <v>2.1560000000000001</v>
      </c>
      <c r="I154" s="41">
        <v>0.31</v>
      </c>
      <c r="J154" s="41">
        <v>0.77</v>
      </c>
      <c r="K154" s="41">
        <v>0.38</v>
      </c>
      <c r="L154" s="41">
        <v>189.5</v>
      </c>
      <c r="M154" s="41">
        <v>0.12</v>
      </c>
      <c r="N154" s="41">
        <v>3.31</v>
      </c>
      <c r="O154" s="41">
        <v>3.0419999999999998</v>
      </c>
    </row>
    <row r="155" spans="1:15">
      <c r="A155" t="s">
        <v>175</v>
      </c>
      <c r="B155" t="str">
        <f t="shared" si="0"/>
        <v>Trial 1</v>
      </c>
      <c r="C155" t="s">
        <v>176</v>
      </c>
      <c r="D155" t="s">
        <v>136</v>
      </c>
      <c r="E155" t="s">
        <v>336</v>
      </c>
      <c r="F155" s="41">
        <v>0.23300000000000001</v>
      </c>
      <c r="G155" s="41">
        <v>1.837</v>
      </c>
      <c r="H155" s="41">
        <v>2.343</v>
      </c>
      <c r="I155" s="41">
        <v>0.152</v>
      </c>
      <c r="J155" s="41">
        <v>0</v>
      </c>
      <c r="K155" s="41">
        <v>0.3</v>
      </c>
      <c r="L155" s="41">
        <v>221.4</v>
      </c>
      <c r="M155" s="41">
        <v>0</v>
      </c>
      <c r="N155" s="41">
        <v>3.74</v>
      </c>
      <c r="O155" s="41">
        <v>2.02</v>
      </c>
    </row>
    <row r="156" spans="1:15">
      <c r="A156" t="s">
        <v>177</v>
      </c>
      <c r="B156" t="str">
        <f t="shared" si="0"/>
        <v>Trial 1</v>
      </c>
      <c r="C156" t="s">
        <v>176</v>
      </c>
      <c r="D156" t="s">
        <v>136</v>
      </c>
      <c r="E156" t="s">
        <v>336</v>
      </c>
      <c r="F156" s="41">
        <v>0.23300000000000001</v>
      </c>
      <c r="G156" s="41">
        <v>2.1739999999999999</v>
      </c>
      <c r="H156" s="41">
        <v>2.5550000000000002</v>
      </c>
      <c r="I156" s="41">
        <v>0.28000000000000003</v>
      </c>
      <c r="J156" s="41">
        <v>0</v>
      </c>
      <c r="K156" s="41">
        <v>0.27</v>
      </c>
      <c r="L156" s="41">
        <v>222.2</v>
      </c>
      <c r="M156" s="41">
        <v>0</v>
      </c>
      <c r="N156" s="41">
        <v>3.74</v>
      </c>
      <c r="O156" s="41">
        <v>2.2759999999999998</v>
      </c>
    </row>
    <row r="157" spans="1:15">
      <c r="A157" t="s">
        <v>178</v>
      </c>
      <c r="B157" t="str">
        <f t="shared" si="0"/>
        <v>Trial 1</v>
      </c>
      <c r="C157" t="s">
        <v>176</v>
      </c>
      <c r="D157" t="s">
        <v>136</v>
      </c>
      <c r="E157" t="s">
        <v>336</v>
      </c>
      <c r="F157" s="41">
        <v>0.218</v>
      </c>
      <c r="G157" s="41">
        <v>2.1269999999999998</v>
      </c>
      <c r="H157" s="41">
        <v>2.42</v>
      </c>
      <c r="I157" s="41">
        <v>0.26800000000000002</v>
      </c>
      <c r="J157" s="41">
        <v>0.02</v>
      </c>
      <c r="K157" s="41">
        <v>0.44</v>
      </c>
      <c r="L157" s="41">
        <v>220.1</v>
      </c>
      <c r="M157" s="41">
        <v>0</v>
      </c>
      <c r="N157" s="41">
        <v>3.65</v>
      </c>
      <c r="O157" s="41">
        <v>2.1379999999999999</v>
      </c>
    </row>
    <row r="158" spans="1:15">
      <c r="A158" t="s">
        <v>179</v>
      </c>
      <c r="B158" t="str">
        <f t="shared" si="0"/>
        <v>Trial 1</v>
      </c>
      <c r="C158" t="s">
        <v>180</v>
      </c>
      <c r="D158" t="s">
        <v>136</v>
      </c>
      <c r="E158" t="s">
        <v>336</v>
      </c>
      <c r="F158" s="41">
        <v>0.28299999999999997</v>
      </c>
      <c r="G158" s="41">
        <v>2.3919999999999999</v>
      </c>
      <c r="H158" s="41">
        <v>2.1309999999999998</v>
      </c>
      <c r="I158" s="41">
        <v>0.24099999999999999</v>
      </c>
      <c r="J158" s="41">
        <v>0.67</v>
      </c>
      <c r="K158" s="41">
        <v>0.56000000000000005</v>
      </c>
      <c r="L158" s="41">
        <v>181.1</v>
      </c>
      <c r="M158" s="41">
        <v>0.15</v>
      </c>
      <c r="N158" s="41">
        <v>3.31</v>
      </c>
      <c r="O158" s="41">
        <v>2.835</v>
      </c>
    </row>
    <row r="159" spans="1:15">
      <c r="A159" t="s">
        <v>181</v>
      </c>
      <c r="B159" t="str">
        <f t="shared" si="0"/>
        <v>Trial 1</v>
      </c>
      <c r="C159" t="s">
        <v>180</v>
      </c>
      <c r="D159" t="s">
        <v>136</v>
      </c>
      <c r="E159" t="s">
        <v>336</v>
      </c>
      <c r="F159" s="41">
        <v>0.34699999999999998</v>
      </c>
      <c r="G159" s="41">
        <v>2.6230000000000002</v>
      </c>
      <c r="H159" s="41">
        <v>2.0870000000000002</v>
      </c>
      <c r="I159" s="41">
        <v>0.27200000000000002</v>
      </c>
      <c r="J159" s="41">
        <v>1.01</v>
      </c>
      <c r="K159" s="41">
        <v>0.64</v>
      </c>
      <c r="L159" s="41">
        <v>178.9</v>
      </c>
      <c r="M159" s="41">
        <v>0.19</v>
      </c>
      <c r="N159" s="41">
        <v>3.26</v>
      </c>
      <c r="O159" s="41">
        <v>3.3079999999999998</v>
      </c>
    </row>
    <row r="160" spans="1:15">
      <c r="A160" t="s">
        <v>182</v>
      </c>
      <c r="B160" t="str">
        <f t="shared" si="0"/>
        <v>Trial 1</v>
      </c>
      <c r="C160" t="s">
        <v>180</v>
      </c>
      <c r="D160" t="s">
        <v>136</v>
      </c>
      <c r="E160" t="s">
        <v>336</v>
      </c>
      <c r="F160" s="41">
        <v>0.34899999999999998</v>
      </c>
      <c r="G160" s="41">
        <v>2.6</v>
      </c>
      <c r="H160" s="41">
        <v>2.157</v>
      </c>
      <c r="I160" s="41">
        <v>0.35799999999999998</v>
      </c>
      <c r="J160" s="41">
        <v>0.64</v>
      </c>
      <c r="K160" s="41">
        <v>0.55000000000000004</v>
      </c>
      <c r="L160" s="41">
        <v>180.4</v>
      </c>
      <c r="M160" s="41">
        <v>0.06</v>
      </c>
      <c r="N160" s="41">
        <v>3.24</v>
      </c>
      <c r="O160" s="41">
        <v>3.4289999999999998</v>
      </c>
    </row>
    <row r="161" spans="1:15">
      <c r="A161" t="s">
        <v>183</v>
      </c>
      <c r="B161" t="str">
        <f t="shared" si="0"/>
        <v>Trial 1</v>
      </c>
      <c r="C161" t="s">
        <v>184</v>
      </c>
      <c r="D161" t="s">
        <v>136</v>
      </c>
      <c r="E161" t="s">
        <v>336</v>
      </c>
      <c r="F161" s="41">
        <v>0.30199999999999999</v>
      </c>
      <c r="G161" s="41">
        <v>1.647</v>
      </c>
      <c r="H161" s="41">
        <v>2.4889999999999999</v>
      </c>
      <c r="I161" s="41">
        <v>0.32600000000000001</v>
      </c>
      <c r="J161" s="41">
        <v>0</v>
      </c>
      <c r="K161" s="41">
        <v>0.37</v>
      </c>
      <c r="L161" s="41">
        <v>228.4</v>
      </c>
      <c r="M161" s="41">
        <v>0</v>
      </c>
      <c r="N161" s="41">
        <v>3.77</v>
      </c>
      <c r="O161" s="41">
        <v>1.97</v>
      </c>
    </row>
    <row r="162" spans="1:15">
      <c r="A162" t="s">
        <v>185</v>
      </c>
      <c r="B162" t="str">
        <f t="shared" si="0"/>
        <v>Trial 1</v>
      </c>
      <c r="C162" t="s">
        <v>184</v>
      </c>
      <c r="D162" t="s">
        <v>136</v>
      </c>
      <c r="E162" t="s">
        <v>336</v>
      </c>
      <c r="F162" s="41">
        <v>0.24199999999999999</v>
      </c>
      <c r="G162" s="41">
        <v>1.6539999999999999</v>
      </c>
      <c r="H162" s="41">
        <v>2.5099999999999998</v>
      </c>
      <c r="I162" s="41">
        <v>0.28499999999999998</v>
      </c>
      <c r="J162" s="41">
        <v>0</v>
      </c>
      <c r="K162" s="41">
        <v>0.41</v>
      </c>
      <c r="L162" s="41">
        <v>232.8</v>
      </c>
      <c r="M162" s="41">
        <v>0.08</v>
      </c>
      <c r="N162" s="41">
        <v>3.74</v>
      </c>
      <c r="O162" s="41">
        <v>2.5419999999999998</v>
      </c>
    </row>
    <row r="163" spans="1:15">
      <c r="A163" t="s">
        <v>186</v>
      </c>
      <c r="B163" t="str">
        <f t="shared" si="0"/>
        <v>Trial 1</v>
      </c>
      <c r="C163" t="s">
        <v>184</v>
      </c>
      <c r="D163" t="s">
        <v>136</v>
      </c>
      <c r="E163" t="s">
        <v>336</v>
      </c>
      <c r="F163" s="41">
        <v>0.246</v>
      </c>
      <c r="G163" s="41">
        <v>1.6859999999999999</v>
      </c>
      <c r="H163" s="41">
        <v>2.5790000000000002</v>
      </c>
      <c r="I163" s="41">
        <v>0.23599999999999999</v>
      </c>
      <c r="J163" s="41">
        <v>0.01</v>
      </c>
      <c r="K163" s="41">
        <v>0.36</v>
      </c>
      <c r="L163" s="41">
        <v>237.1</v>
      </c>
      <c r="M163" s="41">
        <v>0</v>
      </c>
      <c r="N163" s="41">
        <v>3.7</v>
      </c>
      <c r="O163" s="41">
        <v>2.0139999999999998</v>
      </c>
    </row>
    <row r="164" spans="1:15">
      <c r="A164" t="s">
        <v>163</v>
      </c>
      <c r="B164" t="str">
        <f t="shared" si="0"/>
        <v>Trial 1</v>
      </c>
      <c r="C164" t="s">
        <v>164</v>
      </c>
      <c r="D164" t="s">
        <v>321</v>
      </c>
      <c r="E164" t="s">
        <v>335</v>
      </c>
      <c r="F164" s="41">
        <v>0.39400000000000002</v>
      </c>
      <c r="G164" s="41">
        <v>2.5089999999999999</v>
      </c>
      <c r="H164" s="41">
        <v>2.2669999999999999</v>
      </c>
      <c r="I164" s="41">
        <v>0.24299999999999999</v>
      </c>
      <c r="J164" s="41">
        <v>1.7</v>
      </c>
      <c r="K164" s="41">
        <v>0.69</v>
      </c>
      <c r="L164" s="41">
        <v>187.5</v>
      </c>
      <c r="M164" s="41">
        <v>0.16</v>
      </c>
      <c r="N164" s="41">
        <v>3.31</v>
      </c>
      <c r="O164" s="41">
        <v>3.5859999999999999</v>
      </c>
    </row>
    <row r="165" spans="1:15">
      <c r="A165" t="s">
        <v>165</v>
      </c>
      <c r="B165" t="str">
        <f t="shared" si="0"/>
        <v>Trial 1</v>
      </c>
      <c r="C165" t="s">
        <v>164</v>
      </c>
      <c r="D165" t="s">
        <v>321</v>
      </c>
      <c r="E165" t="s">
        <v>335</v>
      </c>
      <c r="F165" s="41">
        <v>0.36099999999999999</v>
      </c>
      <c r="G165" s="41">
        <v>2.246</v>
      </c>
      <c r="H165" s="41">
        <v>2.1349999999999998</v>
      </c>
      <c r="I165" s="41">
        <v>0.36899999999999999</v>
      </c>
      <c r="J165" s="41">
        <v>0.72</v>
      </c>
      <c r="K165" s="41">
        <v>0.56000000000000005</v>
      </c>
      <c r="L165" s="41">
        <v>158.80000000000001</v>
      </c>
      <c r="M165" s="41">
        <v>0.18</v>
      </c>
      <c r="N165" s="41">
        <v>3.23</v>
      </c>
      <c r="O165" s="41">
        <v>2.8919999999999999</v>
      </c>
    </row>
    <row r="166" spans="1:15">
      <c r="A166" t="s">
        <v>166</v>
      </c>
      <c r="B166" t="str">
        <f t="shared" si="0"/>
        <v>Trial 1</v>
      </c>
      <c r="C166" t="s">
        <v>164</v>
      </c>
      <c r="D166" t="s">
        <v>321</v>
      </c>
      <c r="E166" t="s">
        <v>335</v>
      </c>
      <c r="F166" s="41">
        <v>0.37</v>
      </c>
      <c r="G166" s="41">
        <v>2.5640000000000001</v>
      </c>
      <c r="H166" s="41">
        <v>2.2639999999999998</v>
      </c>
      <c r="I166" s="41">
        <v>0.4</v>
      </c>
      <c r="J166" s="41">
        <v>0.83</v>
      </c>
      <c r="K166" s="41">
        <v>0.52</v>
      </c>
      <c r="L166" s="41">
        <v>135.4</v>
      </c>
      <c r="M166" s="41">
        <v>0.1</v>
      </c>
      <c r="N166" s="41">
        <v>3.24</v>
      </c>
      <c r="O166" s="41">
        <v>3.3580000000000001</v>
      </c>
    </row>
    <row r="167" spans="1:15">
      <c r="A167" t="s">
        <v>167</v>
      </c>
      <c r="B167" t="str">
        <f t="shared" si="0"/>
        <v>Trial 1</v>
      </c>
      <c r="C167" t="s">
        <v>168</v>
      </c>
      <c r="D167" t="s">
        <v>321</v>
      </c>
      <c r="E167" t="s">
        <v>335</v>
      </c>
      <c r="F167" s="41">
        <v>0.33600000000000002</v>
      </c>
      <c r="G167" s="41">
        <v>2.6429999999999998</v>
      </c>
      <c r="H167" s="41">
        <v>2.1459999999999999</v>
      </c>
      <c r="I167" s="41">
        <v>0.313</v>
      </c>
      <c r="J167" s="41">
        <v>1</v>
      </c>
      <c r="K167" s="41">
        <v>0.54</v>
      </c>
      <c r="L167" s="41">
        <v>173</v>
      </c>
      <c r="M167" s="41">
        <v>0</v>
      </c>
      <c r="N167" s="41">
        <v>3.27</v>
      </c>
      <c r="O167" s="41">
        <v>3.7690000000000001</v>
      </c>
    </row>
    <row r="168" spans="1:15">
      <c r="A168" t="s">
        <v>169</v>
      </c>
      <c r="B168" t="str">
        <f t="shared" si="0"/>
        <v>Trial 1</v>
      </c>
      <c r="C168" t="s">
        <v>168</v>
      </c>
      <c r="D168" t="s">
        <v>321</v>
      </c>
      <c r="E168" t="s">
        <v>335</v>
      </c>
      <c r="F168" s="41">
        <v>0.38600000000000001</v>
      </c>
      <c r="G168" s="41">
        <v>2.6269999999999998</v>
      </c>
      <c r="H168" s="41">
        <v>2.3759999999999999</v>
      </c>
      <c r="I168" s="41">
        <v>0.37</v>
      </c>
      <c r="J168" s="41">
        <v>1.26</v>
      </c>
      <c r="K168" s="41">
        <v>0.6</v>
      </c>
      <c r="L168" s="41">
        <v>193.5</v>
      </c>
      <c r="M168" s="41">
        <v>0</v>
      </c>
      <c r="N168" s="41">
        <v>3.42</v>
      </c>
      <c r="O168" s="41">
        <v>3.3479999999999999</v>
      </c>
    </row>
    <row r="169" spans="1:15">
      <c r="A169" t="s">
        <v>170</v>
      </c>
      <c r="B169" t="str">
        <f t="shared" si="0"/>
        <v>Trial 1</v>
      </c>
      <c r="C169" t="s">
        <v>168</v>
      </c>
      <c r="D169" t="s">
        <v>321</v>
      </c>
      <c r="E169" t="s">
        <v>335</v>
      </c>
      <c r="F169" s="41">
        <v>0.36599999999999999</v>
      </c>
      <c r="G169" s="41">
        <v>2.774</v>
      </c>
      <c r="H169" s="41">
        <v>2.2429999999999999</v>
      </c>
      <c r="I169" s="41">
        <v>0.33700000000000002</v>
      </c>
      <c r="J169" s="41">
        <v>1.59</v>
      </c>
      <c r="K169" s="41">
        <v>0.65</v>
      </c>
      <c r="L169" s="41">
        <v>179.4</v>
      </c>
      <c r="M169" s="41">
        <v>0</v>
      </c>
      <c r="N169" s="41">
        <v>3.25</v>
      </c>
      <c r="O169" s="41">
        <v>3.8959999999999999</v>
      </c>
    </row>
    <row r="170" spans="1:15">
      <c r="A170" t="s">
        <v>171</v>
      </c>
      <c r="B170" t="str">
        <f t="shared" si="0"/>
        <v>Trial 1</v>
      </c>
      <c r="C170" t="s">
        <v>172</v>
      </c>
      <c r="D170" t="s">
        <v>321</v>
      </c>
      <c r="E170" t="s">
        <v>335</v>
      </c>
      <c r="F170" s="41">
        <v>0.32700000000000001</v>
      </c>
      <c r="G170" s="41">
        <v>2.1379999999999999</v>
      </c>
      <c r="H170" s="41">
        <v>2.1739999999999999</v>
      </c>
      <c r="I170" s="41">
        <v>0.29399999999999998</v>
      </c>
      <c r="J170" s="41">
        <v>0.78</v>
      </c>
      <c r="K170" s="41">
        <v>0.47</v>
      </c>
      <c r="L170" s="41">
        <v>192.6</v>
      </c>
      <c r="M170" s="41">
        <v>0</v>
      </c>
      <c r="N170" s="41">
        <v>3.31</v>
      </c>
      <c r="O170" s="41">
        <v>3.0960000000000001</v>
      </c>
    </row>
    <row r="171" spans="1:15">
      <c r="A171" t="s">
        <v>173</v>
      </c>
      <c r="B171" t="str">
        <f t="shared" si="0"/>
        <v>Trial 1</v>
      </c>
      <c r="C171" t="s">
        <v>172</v>
      </c>
      <c r="D171" t="s">
        <v>321</v>
      </c>
      <c r="E171" t="s">
        <v>335</v>
      </c>
      <c r="F171" s="41">
        <v>0.32200000000000001</v>
      </c>
      <c r="G171" s="41">
        <v>2.589</v>
      </c>
      <c r="H171" s="41">
        <v>2.238</v>
      </c>
      <c r="I171" s="41">
        <v>0.32800000000000001</v>
      </c>
      <c r="J171" s="41">
        <v>1.25</v>
      </c>
      <c r="K171" s="41">
        <v>0.43</v>
      </c>
      <c r="L171" s="41">
        <v>208</v>
      </c>
      <c r="M171" s="41">
        <v>0.09</v>
      </c>
      <c r="N171" s="41">
        <v>3.38</v>
      </c>
      <c r="O171" s="41">
        <v>3.363</v>
      </c>
    </row>
    <row r="172" spans="1:15">
      <c r="A172" t="s">
        <v>174</v>
      </c>
      <c r="B172" t="str">
        <f t="shared" si="0"/>
        <v>Trial 1</v>
      </c>
      <c r="C172" t="s">
        <v>172</v>
      </c>
      <c r="D172" t="s">
        <v>321</v>
      </c>
      <c r="E172" t="s">
        <v>335</v>
      </c>
      <c r="F172" s="41">
        <v>0.30099999999999999</v>
      </c>
      <c r="G172" s="41">
        <v>2.258</v>
      </c>
      <c r="H172" s="41">
        <v>2.1560000000000001</v>
      </c>
      <c r="I172" s="41">
        <v>0.31</v>
      </c>
      <c r="J172" s="41">
        <v>0.77</v>
      </c>
      <c r="K172" s="41">
        <v>0.38</v>
      </c>
      <c r="L172" s="41">
        <v>189.5</v>
      </c>
      <c r="M172" s="41">
        <v>0.12</v>
      </c>
      <c r="N172" s="41">
        <v>3.31</v>
      </c>
      <c r="O172" s="41">
        <v>3.0419999999999998</v>
      </c>
    </row>
    <row r="173" spans="1:15">
      <c r="A173" t="s">
        <v>175</v>
      </c>
      <c r="B173" t="str">
        <f t="shared" si="0"/>
        <v>Trial 1</v>
      </c>
      <c r="C173" t="s">
        <v>176</v>
      </c>
      <c r="D173" t="s">
        <v>321</v>
      </c>
      <c r="E173" t="s">
        <v>336</v>
      </c>
      <c r="F173" s="41">
        <v>0.23300000000000001</v>
      </c>
      <c r="G173" s="41">
        <v>1.837</v>
      </c>
      <c r="H173" s="41">
        <v>2.343</v>
      </c>
      <c r="I173" s="41">
        <v>0.152</v>
      </c>
      <c r="J173" s="41">
        <v>0</v>
      </c>
      <c r="K173" s="41">
        <v>0.3</v>
      </c>
      <c r="L173" s="41">
        <v>221.4</v>
      </c>
      <c r="M173" s="41">
        <v>0</v>
      </c>
      <c r="N173" s="41">
        <v>3.74</v>
      </c>
      <c r="O173" s="41">
        <v>2.02</v>
      </c>
    </row>
    <row r="174" spans="1:15">
      <c r="A174" t="s">
        <v>177</v>
      </c>
      <c r="B174" t="str">
        <f t="shared" si="0"/>
        <v>Trial 1</v>
      </c>
      <c r="C174" t="s">
        <v>176</v>
      </c>
      <c r="D174" t="s">
        <v>321</v>
      </c>
      <c r="E174" t="s">
        <v>336</v>
      </c>
      <c r="F174" s="41">
        <v>0.23300000000000001</v>
      </c>
      <c r="G174" s="41">
        <v>2.1739999999999999</v>
      </c>
      <c r="H174" s="41">
        <v>2.5550000000000002</v>
      </c>
      <c r="I174" s="41">
        <v>0.28000000000000003</v>
      </c>
      <c r="J174" s="41">
        <v>0</v>
      </c>
      <c r="K174" s="41">
        <v>0.27</v>
      </c>
      <c r="L174" s="41">
        <v>222.2</v>
      </c>
      <c r="M174" s="41">
        <v>0</v>
      </c>
      <c r="N174" s="41">
        <v>3.74</v>
      </c>
      <c r="O174" s="41">
        <v>2.2759999999999998</v>
      </c>
    </row>
    <row r="175" spans="1:15">
      <c r="A175" t="s">
        <v>178</v>
      </c>
      <c r="B175" t="str">
        <f t="shared" ref="B175:B220" si="1">B174</f>
        <v>Trial 1</v>
      </c>
      <c r="C175" t="s">
        <v>176</v>
      </c>
      <c r="D175" t="s">
        <v>321</v>
      </c>
      <c r="E175" t="s">
        <v>336</v>
      </c>
      <c r="F175" s="41">
        <v>0.218</v>
      </c>
      <c r="G175" s="41">
        <v>2.1269999999999998</v>
      </c>
      <c r="H175" s="41">
        <v>2.42</v>
      </c>
      <c r="I175" s="41">
        <v>0.26800000000000002</v>
      </c>
      <c r="J175" s="41">
        <v>0.02</v>
      </c>
      <c r="K175" s="41">
        <v>0.44</v>
      </c>
      <c r="L175" s="41">
        <v>220.1</v>
      </c>
      <c r="M175" s="41">
        <v>0</v>
      </c>
      <c r="N175" s="41">
        <v>3.65</v>
      </c>
      <c r="O175" s="41">
        <v>2.1379999999999999</v>
      </c>
    </row>
    <row r="176" spans="1:15">
      <c r="A176" t="s">
        <v>179</v>
      </c>
      <c r="B176" t="str">
        <f t="shared" si="1"/>
        <v>Trial 1</v>
      </c>
      <c r="C176" t="s">
        <v>180</v>
      </c>
      <c r="D176" t="s">
        <v>321</v>
      </c>
      <c r="E176" t="s">
        <v>336</v>
      </c>
      <c r="F176" s="41">
        <v>0.28299999999999997</v>
      </c>
      <c r="G176" s="41">
        <v>2.3919999999999999</v>
      </c>
      <c r="H176" s="41">
        <v>2.1309999999999998</v>
      </c>
      <c r="I176" s="41">
        <v>0.24099999999999999</v>
      </c>
      <c r="J176" s="41">
        <v>0.67</v>
      </c>
      <c r="K176" s="41">
        <v>0.56000000000000005</v>
      </c>
      <c r="L176" s="41">
        <v>181.1</v>
      </c>
      <c r="M176" s="41">
        <v>0.15</v>
      </c>
      <c r="N176" s="41">
        <v>3.31</v>
      </c>
      <c r="O176" s="41">
        <v>2.835</v>
      </c>
    </row>
    <row r="177" spans="1:15">
      <c r="A177" t="s">
        <v>181</v>
      </c>
      <c r="B177" t="str">
        <f t="shared" si="1"/>
        <v>Trial 1</v>
      </c>
      <c r="C177" t="s">
        <v>180</v>
      </c>
      <c r="D177" t="s">
        <v>321</v>
      </c>
      <c r="E177" t="s">
        <v>336</v>
      </c>
      <c r="F177" s="41">
        <v>0.34699999999999998</v>
      </c>
      <c r="G177" s="41">
        <v>2.6230000000000002</v>
      </c>
      <c r="H177" s="41">
        <v>2.0870000000000002</v>
      </c>
      <c r="I177" s="41">
        <v>0.27200000000000002</v>
      </c>
      <c r="J177" s="41">
        <v>1.01</v>
      </c>
      <c r="K177" s="41">
        <v>0.64</v>
      </c>
      <c r="L177" s="41">
        <v>178.9</v>
      </c>
      <c r="M177" s="41">
        <v>0.19</v>
      </c>
      <c r="N177" s="41">
        <v>3.26</v>
      </c>
      <c r="O177" s="41">
        <v>3.3079999999999998</v>
      </c>
    </row>
    <row r="178" spans="1:15">
      <c r="A178" t="s">
        <v>182</v>
      </c>
      <c r="B178" t="str">
        <f t="shared" si="1"/>
        <v>Trial 1</v>
      </c>
      <c r="C178" t="s">
        <v>180</v>
      </c>
      <c r="D178" t="s">
        <v>321</v>
      </c>
      <c r="E178" t="s">
        <v>336</v>
      </c>
      <c r="F178" s="41">
        <v>0.34899999999999998</v>
      </c>
      <c r="G178" s="41">
        <v>2.6</v>
      </c>
      <c r="H178" s="41">
        <v>2.157</v>
      </c>
      <c r="I178" s="41">
        <v>0.35799999999999998</v>
      </c>
      <c r="J178" s="41">
        <v>0.64</v>
      </c>
      <c r="K178" s="41">
        <v>0.55000000000000004</v>
      </c>
      <c r="L178" s="41">
        <v>180.4</v>
      </c>
      <c r="M178" s="41">
        <v>0.06</v>
      </c>
      <c r="N178" s="41">
        <v>3.24</v>
      </c>
      <c r="O178" s="41">
        <v>3.4289999999999998</v>
      </c>
    </row>
    <row r="179" spans="1:15">
      <c r="A179" t="s">
        <v>183</v>
      </c>
      <c r="B179" t="str">
        <f t="shared" si="1"/>
        <v>Trial 1</v>
      </c>
      <c r="C179" t="s">
        <v>184</v>
      </c>
      <c r="D179" t="s">
        <v>321</v>
      </c>
      <c r="E179" t="s">
        <v>336</v>
      </c>
      <c r="F179" s="41">
        <v>0.30199999999999999</v>
      </c>
      <c r="G179" s="41">
        <v>1.647</v>
      </c>
      <c r="H179" s="41">
        <v>2.4889999999999999</v>
      </c>
      <c r="I179" s="41">
        <v>0.32600000000000001</v>
      </c>
      <c r="J179" s="41">
        <v>0</v>
      </c>
      <c r="K179" s="41">
        <v>0.37</v>
      </c>
      <c r="L179" s="41">
        <v>228.4</v>
      </c>
      <c r="M179" s="41">
        <v>0</v>
      </c>
      <c r="N179" s="41">
        <v>3.77</v>
      </c>
      <c r="O179" s="41">
        <v>1.97</v>
      </c>
    </row>
    <row r="180" spans="1:15">
      <c r="A180" t="s">
        <v>185</v>
      </c>
      <c r="B180" t="str">
        <f t="shared" si="1"/>
        <v>Trial 1</v>
      </c>
      <c r="C180" t="s">
        <v>184</v>
      </c>
      <c r="D180" t="s">
        <v>321</v>
      </c>
      <c r="E180" t="s">
        <v>336</v>
      </c>
      <c r="F180" s="41">
        <v>0.24199999999999999</v>
      </c>
      <c r="G180" s="41">
        <v>1.6539999999999999</v>
      </c>
      <c r="H180" s="41">
        <v>2.5099999999999998</v>
      </c>
      <c r="I180" s="41">
        <v>0.28499999999999998</v>
      </c>
      <c r="J180" s="41">
        <v>0</v>
      </c>
      <c r="K180" s="41">
        <v>0.41</v>
      </c>
      <c r="L180" s="41">
        <v>232.8</v>
      </c>
      <c r="M180" s="41">
        <v>0.08</v>
      </c>
      <c r="N180" s="41">
        <v>3.74</v>
      </c>
      <c r="O180" s="41">
        <v>2.5419999999999998</v>
      </c>
    </row>
    <row r="181" spans="1:15">
      <c r="A181" t="s">
        <v>186</v>
      </c>
      <c r="B181" t="str">
        <f t="shared" si="1"/>
        <v>Trial 1</v>
      </c>
      <c r="C181" t="s">
        <v>184</v>
      </c>
      <c r="D181" t="s">
        <v>321</v>
      </c>
      <c r="E181" t="s">
        <v>336</v>
      </c>
      <c r="F181" s="41">
        <v>0.246</v>
      </c>
      <c r="G181" s="41">
        <v>1.6859999999999999</v>
      </c>
      <c r="H181" s="41">
        <v>2.5790000000000002</v>
      </c>
      <c r="I181" s="41">
        <v>0.23599999999999999</v>
      </c>
      <c r="J181" s="41">
        <v>0.01</v>
      </c>
      <c r="K181" s="41">
        <v>0.36</v>
      </c>
      <c r="L181" s="41">
        <v>237.1</v>
      </c>
      <c r="M181" s="41">
        <v>0</v>
      </c>
      <c r="N181" s="41">
        <v>3.7</v>
      </c>
      <c r="O181" s="41">
        <v>2.0139999999999998</v>
      </c>
    </row>
    <row r="182" spans="1:15">
      <c r="A182" t="s">
        <v>163</v>
      </c>
      <c r="B182" t="str">
        <f>B181</f>
        <v>Trial 1</v>
      </c>
      <c r="C182" t="s">
        <v>164</v>
      </c>
      <c r="D182" t="s">
        <v>322</v>
      </c>
      <c r="E182" t="s">
        <v>335</v>
      </c>
      <c r="F182" s="41">
        <v>0.39400000000000002</v>
      </c>
      <c r="G182" s="41">
        <v>2.5089999999999999</v>
      </c>
      <c r="H182" s="41">
        <v>2.2669999999999999</v>
      </c>
      <c r="I182" s="41">
        <v>0.24299999999999999</v>
      </c>
      <c r="J182" s="41">
        <v>1.7</v>
      </c>
      <c r="K182" s="41">
        <v>0.69</v>
      </c>
      <c r="L182" s="41">
        <v>187.5</v>
      </c>
      <c r="M182" s="41">
        <v>0.16</v>
      </c>
      <c r="N182" s="41">
        <v>3.31</v>
      </c>
      <c r="O182" s="41">
        <v>3.5859999999999999</v>
      </c>
    </row>
    <row r="183" spans="1:15">
      <c r="A183" t="s">
        <v>165</v>
      </c>
      <c r="B183" t="str">
        <f t="shared" si="1"/>
        <v>Trial 1</v>
      </c>
      <c r="C183" t="s">
        <v>164</v>
      </c>
      <c r="D183" t="s">
        <v>322</v>
      </c>
      <c r="E183" t="s">
        <v>335</v>
      </c>
      <c r="F183" s="41">
        <v>0.36099999999999999</v>
      </c>
      <c r="G183" s="41">
        <v>2.246</v>
      </c>
      <c r="H183" s="41">
        <v>2.1349999999999998</v>
      </c>
      <c r="I183" s="41">
        <v>0.36899999999999999</v>
      </c>
      <c r="J183" s="41">
        <v>0.72</v>
      </c>
      <c r="K183" s="41">
        <v>0.56000000000000005</v>
      </c>
      <c r="L183" s="41">
        <v>158.80000000000001</v>
      </c>
      <c r="M183" s="41">
        <v>0.18</v>
      </c>
      <c r="N183" s="41">
        <v>3.23</v>
      </c>
      <c r="O183" s="41">
        <v>2.8919999999999999</v>
      </c>
    </row>
    <row r="184" spans="1:15">
      <c r="A184" t="s">
        <v>166</v>
      </c>
      <c r="B184" t="str">
        <f t="shared" si="1"/>
        <v>Trial 1</v>
      </c>
      <c r="C184" t="s">
        <v>164</v>
      </c>
      <c r="D184" t="s">
        <v>322</v>
      </c>
      <c r="E184" t="s">
        <v>335</v>
      </c>
      <c r="F184" s="41">
        <v>0.37</v>
      </c>
      <c r="G184" s="41">
        <v>2.5640000000000001</v>
      </c>
      <c r="H184" s="41">
        <v>2.2639999999999998</v>
      </c>
      <c r="I184" s="41">
        <v>0.4</v>
      </c>
      <c r="J184" s="41">
        <v>0.83</v>
      </c>
      <c r="K184" s="41">
        <v>0.52</v>
      </c>
      <c r="L184" s="41">
        <v>135.4</v>
      </c>
      <c r="M184" s="41">
        <v>0.1</v>
      </c>
      <c r="N184" s="41">
        <v>3.24</v>
      </c>
      <c r="O184" s="41">
        <v>3.3580000000000001</v>
      </c>
    </row>
    <row r="185" spans="1:15">
      <c r="A185" t="s">
        <v>167</v>
      </c>
      <c r="B185" t="str">
        <f t="shared" si="1"/>
        <v>Trial 1</v>
      </c>
      <c r="C185" t="s">
        <v>168</v>
      </c>
      <c r="D185" t="s">
        <v>322</v>
      </c>
      <c r="E185" t="s">
        <v>335</v>
      </c>
      <c r="F185" s="41">
        <v>0.33600000000000002</v>
      </c>
      <c r="G185" s="41">
        <v>2.6429999999999998</v>
      </c>
      <c r="H185" s="41">
        <v>2.1459999999999999</v>
      </c>
      <c r="I185" s="41">
        <v>0.313</v>
      </c>
      <c r="J185" s="41">
        <v>1</v>
      </c>
      <c r="K185" s="41">
        <v>0.54</v>
      </c>
      <c r="L185" s="41">
        <v>173</v>
      </c>
      <c r="M185" s="41">
        <v>0</v>
      </c>
      <c r="N185" s="41">
        <v>3.27</v>
      </c>
      <c r="O185" s="41">
        <v>3.7690000000000001</v>
      </c>
    </row>
    <row r="186" spans="1:15">
      <c r="A186" t="s">
        <v>169</v>
      </c>
      <c r="B186" t="str">
        <f t="shared" si="1"/>
        <v>Trial 1</v>
      </c>
      <c r="C186" t="s">
        <v>168</v>
      </c>
      <c r="D186" t="s">
        <v>322</v>
      </c>
      <c r="E186" t="s">
        <v>335</v>
      </c>
      <c r="F186" s="41">
        <v>0.38600000000000001</v>
      </c>
      <c r="G186" s="41">
        <v>2.6269999999999998</v>
      </c>
      <c r="H186" s="41">
        <v>2.3759999999999999</v>
      </c>
      <c r="I186" s="41">
        <v>0.37</v>
      </c>
      <c r="J186" s="41">
        <v>1.26</v>
      </c>
      <c r="K186" s="41">
        <v>0.6</v>
      </c>
      <c r="L186" s="41">
        <v>193.5</v>
      </c>
      <c r="M186" s="41">
        <v>0</v>
      </c>
      <c r="N186" s="41">
        <v>3.42</v>
      </c>
      <c r="O186" s="41">
        <v>3.3479999999999999</v>
      </c>
    </row>
    <row r="187" spans="1:15">
      <c r="A187" t="s">
        <v>170</v>
      </c>
      <c r="B187" t="str">
        <f t="shared" si="1"/>
        <v>Trial 1</v>
      </c>
      <c r="C187" t="s">
        <v>168</v>
      </c>
      <c r="D187" t="s">
        <v>322</v>
      </c>
      <c r="E187" t="s">
        <v>335</v>
      </c>
      <c r="F187" s="41">
        <v>0.36599999999999999</v>
      </c>
      <c r="G187" s="41">
        <v>2.774</v>
      </c>
      <c r="H187" s="41">
        <v>2.2429999999999999</v>
      </c>
      <c r="I187" s="41">
        <v>0.33700000000000002</v>
      </c>
      <c r="J187" s="41">
        <v>1.59</v>
      </c>
      <c r="K187" s="41">
        <v>0.65</v>
      </c>
      <c r="L187" s="41">
        <v>179.4</v>
      </c>
      <c r="M187" s="41">
        <v>0</v>
      </c>
      <c r="N187" s="41">
        <v>3.25</v>
      </c>
      <c r="O187" s="41">
        <v>3.8959999999999999</v>
      </c>
    </row>
    <row r="188" spans="1:15">
      <c r="A188" t="s">
        <v>171</v>
      </c>
      <c r="B188" t="str">
        <f t="shared" si="1"/>
        <v>Trial 1</v>
      </c>
      <c r="C188" t="s">
        <v>172</v>
      </c>
      <c r="D188" t="s">
        <v>322</v>
      </c>
      <c r="E188" t="s">
        <v>335</v>
      </c>
      <c r="F188" s="41">
        <v>0.32700000000000001</v>
      </c>
      <c r="G188" s="41">
        <v>2.1379999999999999</v>
      </c>
      <c r="H188" s="41">
        <v>2.1739999999999999</v>
      </c>
      <c r="I188" s="41">
        <v>0.29399999999999998</v>
      </c>
      <c r="J188" s="41">
        <v>0.78</v>
      </c>
      <c r="K188" s="41">
        <v>0.47</v>
      </c>
      <c r="L188" s="41">
        <v>192.6</v>
      </c>
      <c r="M188" s="41">
        <v>0</v>
      </c>
      <c r="N188" s="41">
        <v>3.31</v>
      </c>
      <c r="O188" s="41">
        <v>3.0960000000000001</v>
      </c>
    </row>
    <row r="189" spans="1:15">
      <c r="A189" t="s">
        <v>173</v>
      </c>
      <c r="B189" t="str">
        <f t="shared" si="1"/>
        <v>Trial 1</v>
      </c>
      <c r="C189" t="s">
        <v>172</v>
      </c>
      <c r="D189" t="s">
        <v>322</v>
      </c>
      <c r="E189" t="s">
        <v>335</v>
      </c>
      <c r="F189" s="41">
        <v>0.32200000000000001</v>
      </c>
      <c r="G189" s="41">
        <v>2.589</v>
      </c>
      <c r="H189" s="41">
        <v>2.238</v>
      </c>
      <c r="I189" s="41">
        <v>0.32800000000000001</v>
      </c>
      <c r="J189" s="41">
        <v>1.25</v>
      </c>
      <c r="K189" s="41">
        <v>0.43</v>
      </c>
      <c r="L189" s="41">
        <v>208</v>
      </c>
      <c r="M189" s="41">
        <v>0.09</v>
      </c>
      <c r="N189" s="41">
        <v>3.38</v>
      </c>
      <c r="O189" s="41">
        <v>3.363</v>
      </c>
    </row>
    <row r="190" spans="1:15">
      <c r="A190" t="s">
        <v>174</v>
      </c>
      <c r="B190" t="str">
        <f t="shared" si="1"/>
        <v>Trial 1</v>
      </c>
      <c r="C190" t="s">
        <v>172</v>
      </c>
      <c r="D190" t="s">
        <v>322</v>
      </c>
      <c r="E190" t="s">
        <v>335</v>
      </c>
      <c r="F190" s="41">
        <v>0.30099999999999999</v>
      </c>
      <c r="G190" s="41">
        <v>2.258</v>
      </c>
      <c r="H190" s="41">
        <v>2.1560000000000001</v>
      </c>
      <c r="I190" s="41">
        <v>0.31</v>
      </c>
      <c r="J190" s="41">
        <v>0.77</v>
      </c>
      <c r="K190" s="41">
        <v>0.38</v>
      </c>
      <c r="L190" s="41">
        <v>189.5</v>
      </c>
      <c r="M190" s="41">
        <v>0.12</v>
      </c>
      <c r="N190" s="41">
        <v>3.31</v>
      </c>
      <c r="O190" s="41">
        <v>3.0419999999999998</v>
      </c>
    </row>
    <row r="191" spans="1:15">
      <c r="A191" t="s">
        <v>175</v>
      </c>
      <c r="B191" t="str">
        <f t="shared" si="1"/>
        <v>Trial 1</v>
      </c>
      <c r="C191" t="s">
        <v>176</v>
      </c>
      <c r="D191" t="s">
        <v>322</v>
      </c>
      <c r="E191" t="s">
        <v>336</v>
      </c>
      <c r="F191" s="41">
        <v>0.23300000000000001</v>
      </c>
      <c r="G191" s="41">
        <v>1.837</v>
      </c>
      <c r="H191" s="41">
        <v>2.343</v>
      </c>
      <c r="I191" s="41">
        <v>0.152</v>
      </c>
      <c r="J191" s="41">
        <v>0</v>
      </c>
      <c r="K191" s="41">
        <v>0.3</v>
      </c>
      <c r="L191" s="41">
        <v>221.4</v>
      </c>
      <c r="M191" s="41">
        <v>0</v>
      </c>
      <c r="N191" s="41">
        <v>3.74</v>
      </c>
      <c r="O191" s="41">
        <v>2.02</v>
      </c>
    </row>
    <row r="192" spans="1:15">
      <c r="A192" t="s">
        <v>177</v>
      </c>
      <c r="B192" t="str">
        <f t="shared" si="1"/>
        <v>Trial 1</v>
      </c>
      <c r="C192" t="s">
        <v>176</v>
      </c>
      <c r="D192" t="s">
        <v>322</v>
      </c>
      <c r="E192" t="s">
        <v>336</v>
      </c>
      <c r="F192" s="41">
        <v>0.23300000000000001</v>
      </c>
      <c r="G192" s="41">
        <v>2.1739999999999999</v>
      </c>
      <c r="H192" s="41">
        <v>2.5550000000000002</v>
      </c>
      <c r="I192" s="41">
        <v>0.28000000000000003</v>
      </c>
      <c r="J192" s="41">
        <v>0</v>
      </c>
      <c r="K192" s="41">
        <v>0.27</v>
      </c>
      <c r="L192" s="41">
        <v>222.2</v>
      </c>
      <c r="M192" s="41">
        <v>0</v>
      </c>
      <c r="N192" s="41">
        <v>3.74</v>
      </c>
      <c r="O192" s="41">
        <v>2.2759999999999998</v>
      </c>
    </row>
    <row r="193" spans="1:15">
      <c r="A193" t="s">
        <v>178</v>
      </c>
      <c r="B193" t="str">
        <f t="shared" si="1"/>
        <v>Trial 1</v>
      </c>
      <c r="C193" t="s">
        <v>176</v>
      </c>
      <c r="D193" t="s">
        <v>322</v>
      </c>
      <c r="E193" t="s">
        <v>336</v>
      </c>
      <c r="F193" s="41">
        <v>0.218</v>
      </c>
      <c r="G193" s="41">
        <v>2.1269999999999998</v>
      </c>
      <c r="H193" s="41">
        <v>2.42</v>
      </c>
      <c r="I193" s="41">
        <v>0.26800000000000002</v>
      </c>
      <c r="J193" s="41">
        <v>0.02</v>
      </c>
      <c r="K193" s="41">
        <v>0.44</v>
      </c>
      <c r="L193" s="41">
        <v>220.1</v>
      </c>
      <c r="M193" s="41">
        <v>0</v>
      </c>
      <c r="N193" s="41">
        <v>3.65</v>
      </c>
      <c r="O193" s="41">
        <v>2.1379999999999999</v>
      </c>
    </row>
    <row r="194" spans="1:15">
      <c r="A194" t="s">
        <v>179</v>
      </c>
      <c r="B194" t="str">
        <f t="shared" si="1"/>
        <v>Trial 1</v>
      </c>
      <c r="C194" t="s">
        <v>180</v>
      </c>
      <c r="D194" t="s">
        <v>322</v>
      </c>
      <c r="E194" t="s">
        <v>336</v>
      </c>
      <c r="F194" s="41">
        <v>0.28299999999999997</v>
      </c>
      <c r="G194" s="41">
        <v>2.3919999999999999</v>
      </c>
      <c r="H194" s="41">
        <v>2.1309999999999998</v>
      </c>
      <c r="I194" s="41">
        <v>0.24099999999999999</v>
      </c>
      <c r="J194" s="41">
        <v>0.67</v>
      </c>
      <c r="K194" s="41">
        <v>0.56000000000000005</v>
      </c>
      <c r="L194" s="41">
        <v>181.1</v>
      </c>
      <c r="M194" s="41">
        <v>0.15</v>
      </c>
      <c r="N194" s="41">
        <v>3.31</v>
      </c>
      <c r="O194" s="41">
        <v>2.835</v>
      </c>
    </row>
    <row r="195" spans="1:15">
      <c r="A195" t="s">
        <v>181</v>
      </c>
      <c r="B195" t="str">
        <f t="shared" si="1"/>
        <v>Trial 1</v>
      </c>
      <c r="C195" t="s">
        <v>180</v>
      </c>
      <c r="D195" t="s">
        <v>322</v>
      </c>
      <c r="E195" t="s">
        <v>336</v>
      </c>
      <c r="F195" s="41">
        <v>0.34699999999999998</v>
      </c>
      <c r="G195" s="41">
        <v>2.6230000000000002</v>
      </c>
      <c r="H195" s="41">
        <v>2.0870000000000002</v>
      </c>
      <c r="I195" s="41">
        <v>0.27200000000000002</v>
      </c>
      <c r="J195" s="41">
        <v>1.01</v>
      </c>
      <c r="K195" s="41">
        <v>0.64</v>
      </c>
      <c r="L195" s="41">
        <v>178.9</v>
      </c>
      <c r="M195" s="41">
        <v>0.19</v>
      </c>
      <c r="N195" s="41">
        <v>3.26</v>
      </c>
      <c r="O195" s="41">
        <v>3.3079999999999998</v>
      </c>
    </row>
    <row r="196" spans="1:15">
      <c r="A196" t="s">
        <v>182</v>
      </c>
      <c r="B196" t="str">
        <f t="shared" si="1"/>
        <v>Trial 1</v>
      </c>
      <c r="C196" t="s">
        <v>180</v>
      </c>
      <c r="D196" t="s">
        <v>322</v>
      </c>
      <c r="E196" t="s">
        <v>336</v>
      </c>
      <c r="F196" s="41">
        <v>0.34899999999999998</v>
      </c>
      <c r="G196" s="41">
        <v>2.6</v>
      </c>
      <c r="H196" s="41">
        <v>2.157</v>
      </c>
      <c r="I196" s="41">
        <v>0.35799999999999998</v>
      </c>
      <c r="J196" s="41">
        <v>0.64</v>
      </c>
      <c r="K196" s="41">
        <v>0.55000000000000004</v>
      </c>
      <c r="L196" s="41">
        <v>180.4</v>
      </c>
      <c r="M196" s="41">
        <v>0.06</v>
      </c>
      <c r="N196" s="41">
        <v>3.24</v>
      </c>
      <c r="O196" s="41">
        <v>3.4289999999999998</v>
      </c>
    </row>
    <row r="197" spans="1:15">
      <c r="A197" t="s">
        <v>183</v>
      </c>
      <c r="B197" t="str">
        <f t="shared" si="1"/>
        <v>Trial 1</v>
      </c>
      <c r="C197" t="s">
        <v>184</v>
      </c>
      <c r="D197" t="s">
        <v>322</v>
      </c>
      <c r="E197" t="s">
        <v>336</v>
      </c>
      <c r="F197" s="41">
        <v>0.30199999999999999</v>
      </c>
      <c r="G197" s="41">
        <v>1.647</v>
      </c>
      <c r="H197" s="41">
        <v>2.4889999999999999</v>
      </c>
      <c r="I197" s="41">
        <v>0.32600000000000001</v>
      </c>
      <c r="J197" s="41">
        <v>0</v>
      </c>
      <c r="K197" s="41">
        <v>0.37</v>
      </c>
      <c r="L197" s="41">
        <v>228.4</v>
      </c>
      <c r="M197" s="41">
        <v>0</v>
      </c>
      <c r="N197" s="41">
        <v>3.77</v>
      </c>
      <c r="O197" s="41">
        <v>1.97</v>
      </c>
    </row>
    <row r="198" spans="1:15">
      <c r="A198" t="s">
        <v>185</v>
      </c>
      <c r="B198" t="str">
        <f t="shared" si="1"/>
        <v>Trial 1</v>
      </c>
      <c r="C198" t="s">
        <v>184</v>
      </c>
      <c r="D198" t="s">
        <v>322</v>
      </c>
      <c r="E198" t="s">
        <v>336</v>
      </c>
      <c r="F198" s="41">
        <v>0.24199999999999999</v>
      </c>
      <c r="G198" s="41">
        <v>1.6539999999999999</v>
      </c>
      <c r="H198" s="41">
        <v>2.5099999999999998</v>
      </c>
      <c r="I198" s="41">
        <v>0.28499999999999998</v>
      </c>
      <c r="J198" s="41">
        <v>0</v>
      </c>
      <c r="K198" s="41">
        <v>0.41</v>
      </c>
      <c r="L198" s="41">
        <v>232.8</v>
      </c>
      <c r="M198" s="41">
        <v>0.08</v>
      </c>
      <c r="N198" s="41">
        <v>3.74</v>
      </c>
      <c r="O198" s="41">
        <v>2.5419999999999998</v>
      </c>
    </row>
    <row r="199" spans="1:15">
      <c r="A199" t="s">
        <v>186</v>
      </c>
      <c r="B199" t="str">
        <f t="shared" si="1"/>
        <v>Trial 1</v>
      </c>
      <c r="C199" t="s">
        <v>184</v>
      </c>
      <c r="D199" t="s">
        <v>322</v>
      </c>
      <c r="E199" t="s">
        <v>336</v>
      </c>
      <c r="F199" s="41">
        <v>0.246</v>
      </c>
      <c r="G199" s="41">
        <v>1.6859999999999999</v>
      </c>
      <c r="H199" s="41">
        <v>2.5790000000000002</v>
      </c>
      <c r="I199" s="41">
        <v>0.23599999999999999</v>
      </c>
      <c r="J199" s="41">
        <v>0.01</v>
      </c>
      <c r="K199" s="41">
        <v>0.36</v>
      </c>
      <c r="L199" s="41">
        <v>237.1</v>
      </c>
      <c r="M199" s="41">
        <v>0</v>
      </c>
      <c r="N199" s="41">
        <v>3.7</v>
      </c>
      <c r="O199" s="41">
        <v>2.0139999999999998</v>
      </c>
    </row>
    <row r="200" spans="1:15">
      <c r="A200" t="s">
        <v>163</v>
      </c>
      <c r="B200" t="str">
        <f t="shared" si="1"/>
        <v>Trial 1</v>
      </c>
      <c r="C200" t="s">
        <v>164</v>
      </c>
      <c r="D200" t="s">
        <v>148</v>
      </c>
      <c r="E200" t="s">
        <v>335</v>
      </c>
      <c r="F200" s="41">
        <v>0.39400000000000002</v>
      </c>
      <c r="G200" s="41">
        <v>2.5089999999999999</v>
      </c>
      <c r="H200" s="41">
        <v>2.2669999999999999</v>
      </c>
      <c r="I200" s="41">
        <v>0.24299999999999999</v>
      </c>
      <c r="J200" s="41">
        <v>1.7</v>
      </c>
      <c r="K200" s="41">
        <v>0.69</v>
      </c>
      <c r="L200" s="41">
        <v>187.5</v>
      </c>
      <c r="M200" s="41">
        <v>0.16</v>
      </c>
      <c r="N200" s="41">
        <v>3.31</v>
      </c>
      <c r="O200" s="41">
        <v>3.5859999999999999</v>
      </c>
    </row>
    <row r="201" spans="1:15">
      <c r="A201" t="s">
        <v>165</v>
      </c>
      <c r="B201" t="str">
        <f t="shared" si="1"/>
        <v>Trial 1</v>
      </c>
      <c r="C201" t="s">
        <v>164</v>
      </c>
      <c r="D201" t="s">
        <v>148</v>
      </c>
      <c r="E201" t="s">
        <v>335</v>
      </c>
      <c r="F201" s="41">
        <v>0.36099999999999999</v>
      </c>
      <c r="G201" s="41">
        <v>2.246</v>
      </c>
      <c r="H201" s="41">
        <v>2.1349999999999998</v>
      </c>
      <c r="I201" s="41">
        <v>0.36899999999999999</v>
      </c>
      <c r="J201" s="41">
        <v>0.72</v>
      </c>
      <c r="K201" s="41">
        <v>0.56000000000000005</v>
      </c>
      <c r="L201" s="41">
        <v>158.80000000000001</v>
      </c>
      <c r="M201" s="41">
        <v>0.18</v>
      </c>
      <c r="N201" s="41">
        <v>3.23</v>
      </c>
      <c r="O201" s="41">
        <v>2.8919999999999999</v>
      </c>
    </row>
    <row r="202" spans="1:15">
      <c r="A202" t="s">
        <v>166</v>
      </c>
      <c r="B202" t="str">
        <f t="shared" si="1"/>
        <v>Trial 1</v>
      </c>
      <c r="C202" t="s">
        <v>164</v>
      </c>
      <c r="D202" t="s">
        <v>148</v>
      </c>
      <c r="E202" t="s">
        <v>335</v>
      </c>
      <c r="F202" s="41">
        <v>0.37</v>
      </c>
      <c r="G202" s="41">
        <v>2.5640000000000001</v>
      </c>
      <c r="H202" s="41">
        <v>2.2639999999999998</v>
      </c>
      <c r="I202" s="41">
        <v>0.4</v>
      </c>
      <c r="J202" s="41">
        <v>0.83</v>
      </c>
      <c r="K202" s="41">
        <v>0.52</v>
      </c>
      <c r="L202" s="41">
        <v>135.4</v>
      </c>
      <c r="M202" s="41">
        <v>0.1</v>
      </c>
      <c r="N202" s="41">
        <v>3.24</v>
      </c>
      <c r="O202" s="41">
        <v>3.3580000000000001</v>
      </c>
    </row>
    <row r="203" spans="1:15">
      <c r="A203" t="s">
        <v>167</v>
      </c>
      <c r="B203" t="str">
        <f t="shared" si="1"/>
        <v>Trial 1</v>
      </c>
      <c r="C203" t="s">
        <v>168</v>
      </c>
      <c r="D203" t="s">
        <v>148</v>
      </c>
      <c r="E203" t="s">
        <v>335</v>
      </c>
      <c r="F203" s="41">
        <v>0.33600000000000002</v>
      </c>
      <c r="G203" s="41">
        <v>2.6429999999999998</v>
      </c>
      <c r="H203" s="41">
        <v>2.1459999999999999</v>
      </c>
      <c r="I203" s="41">
        <v>0.313</v>
      </c>
      <c r="J203" s="41">
        <v>1</v>
      </c>
      <c r="K203" s="41">
        <v>0.54</v>
      </c>
      <c r="L203" s="41">
        <v>173</v>
      </c>
      <c r="M203" s="41">
        <v>0</v>
      </c>
      <c r="N203" s="41">
        <v>3.27</v>
      </c>
      <c r="O203" s="41">
        <v>3.7690000000000001</v>
      </c>
    </row>
    <row r="204" spans="1:15">
      <c r="A204" t="s">
        <v>169</v>
      </c>
      <c r="B204" t="str">
        <f t="shared" si="1"/>
        <v>Trial 1</v>
      </c>
      <c r="C204" t="s">
        <v>168</v>
      </c>
      <c r="D204" t="s">
        <v>148</v>
      </c>
      <c r="E204" t="s">
        <v>335</v>
      </c>
      <c r="F204" s="41">
        <v>0.38600000000000001</v>
      </c>
      <c r="G204" s="41">
        <v>2.6269999999999998</v>
      </c>
      <c r="H204" s="41">
        <v>2.3759999999999999</v>
      </c>
      <c r="I204" s="41">
        <v>0.37</v>
      </c>
      <c r="J204" s="41">
        <v>1.26</v>
      </c>
      <c r="K204" s="41">
        <v>0.6</v>
      </c>
      <c r="L204" s="41">
        <v>193.5</v>
      </c>
      <c r="M204" s="41">
        <v>0</v>
      </c>
      <c r="N204" s="41">
        <v>3.42</v>
      </c>
      <c r="O204" s="41">
        <v>3.3479999999999999</v>
      </c>
    </row>
    <row r="205" spans="1:15">
      <c r="A205" t="s">
        <v>170</v>
      </c>
      <c r="B205" t="str">
        <f t="shared" si="1"/>
        <v>Trial 1</v>
      </c>
      <c r="C205" t="s">
        <v>168</v>
      </c>
      <c r="D205" t="s">
        <v>148</v>
      </c>
      <c r="E205" t="s">
        <v>335</v>
      </c>
      <c r="F205" s="41">
        <v>0.36599999999999999</v>
      </c>
      <c r="G205" s="41">
        <v>2.774</v>
      </c>
      <c r="H205" s="41">
        <v>2.2429999999999999</v>
      </c>
      <c r="I205" s="41">
        <v>0.33700000000000002</v>
      </c>
      <c r="J205" s="41">
        <v>1.59</v>
      </c>
      <c r="K205" s="41">
        <v>0.65</v>
      </c>
      <c r="L205" s="41">
        <v>179.4</v>
      </c>
      <c r="M205" s="41">
        <v>0</v>
      </c>
      <c r="N205" s="41">
        <v>3.25</v>
      </c>
      <c r="O205" s="41">
        <v>3.8959999999999999</v>
      </c>
    </row>
    <row r="206" spans="1:15">
      <c r="A206" t="s">
        <v>171</v>
      </c>
      <c r="B206" t="str">
        <f t="shared" si="1"/>
        <v>Trial 1</v>
      </c>
      <c r="C206" t="s">
        <v>172</v>
      </c>
      <c r="D206" t="s">
        <v>148</v>
      </c>
      <c r="E206" t="s">
        <v>335</v>
      </c>
      <c r="F206" s="41">
        <v>0.32700000000000001</v>
      </c>
      <c r="G206" s="41">
        <v>2.1379999999999999</v>
      </c>
      <c r="H206" s="41">
        <v>2.1739999999999999</v>
      </c>
      <c r="I206" s="41">
        <v>0.29399999999999998</v>
      </c>
      <c r="J206" s="41">
        <v>0.78</v>
      </c>
      <c r="K206" s="41">
        <v>0.47</v>
      </c>
      <c r="L206" s="41">
        <v>192.6</v>
      </c>
      <c r="M206" s="41">
        <v>0</v>
      </c>
      <c r="N206" s="41">
        <v>3.31</v>
      </c>
      <c r="O206" s="41">
        <v>3.0960000000000001</v>
      </c>
    </row>
    <row r="207" spans="1:15">
      <c r="A207" t="s">
        <v>173</v>
      </c>
      <c r="B207" t="str">
        <f t="shared" si="1"/>
        <v>Trial 1</v>
      </c>
      <c r="C207" t="s">
        <v>172</v>
      </c>
      <c r="D207" t="s">
        <v>148</v>
      </c>
      <c r="E207" t="s">
        <v>335</v>
      </c>
      <c r="F207" s="41">
        <v>0.32200000000000001</v>
      </c>
      <c r="G207" s="41">
        <v>2.589</v>
      </c>
      <c r="H207" s="41">
        <v>2.238</v>
      </c>
      <c r="I207" s="41">
        <v>0.32800000000000001</v>
      </c>
      <c r="J207" s="41">
        <v>1.25</v>
      </c>
      <c r="K207" s="41">
        <v>0.43</v>
      </c>
      <c r="L207" s="41">
        <v>208</v>
      </c>
      <c r="M207" s="41">
        <v>0.09</v>
      </c>
      <c r="N207" s="41">
        <v>3.38</v>
      </c>
      <c r="O207" s="41">
        <v>3.363</v>
      </c>
    </row>
    <row r="208" spans="1:15">
      <c r="A208" t="s">
        <v>174</v>
      </c>
      <c r="B208" t="str">
        <f t="shared" si="1"/>
        <v>Trial 1</v>
      </c>
      <c r="C208" t="s">
        <v>172</v>
      </c>
      <c r="D208" t="s">
        <v>148</v>
      </c>
      <c r="E208" t="s">
        <v>335</v>
      </c>
      <c r="F208" s="41">
        <v>0.30099999999999999</v>
      </c>
      <c r="G208" s="41">
        <v>2.258</v>
      </c>
      <c r="H208" s="41">
        <v>2.1560000000000001</v>
      </c>
      <c r="I208" s="41">
        <v>0.31</v>
      </c>
      <c r="J208" s="41">
        <v>0.77</v>
      </c>
      <c r="K208" s="41">
        <v>0.38</v>
      </c>
      <c r="L208" s="41">
        <v>189.5</v>
      </c>
      <c r="M208" s="41">
        <v>0.12</v>
      </c>
      <c r="N208" s="41">
        <v>3.31</v>
      </c>
      <c r="O208" s="41">
        <v>3.0419999999999998</v>
      </c>
    </row>
    <row r="209" spans="1:15">
      <c r="A209" t="s">
        <v>175</v>
      </c>
      <c r="B209" t="str">
        <f t="shared" si="1"/>
        <v>Trial 1</v>
      </c>
      <c r="C209" t="s">
        <v>176</v>
      </c>
      <c r="D209" t="s">
        <v>148</v>
      </c>
      <c r="E209" t="s">
        <v>336</v>
      </c>
      <c r="F209" s="41">
        <v>0.23300000000000001</v>
      </c>
      <c r="G209" s="41">
        <v>1.837</v>
      </c>
      <c r="H209" s="41">
        <v>2.343</v>
      </c>
      <c r="I209" s="41">
        <v>0.152</v>
      </c>
      <c r="J209" s="41">
        <v>0</v>
      </c>
      <c r="K209" s="41">
        <v>0.3</v>
      </c>
      <c r="L209" s="41">
        <v>221.4</v>
      </c>
      <c r="M209" s="41">
        <v>0</v>
      </c>
      <c r="N209" s="41">
        <v>3.74</v>
      </c>
      <c r="O209" s="41">
        <v>2.02</v>
      </c>
    </row>
    <row r="210" spans="1:15">
      <c r="A210" t="s">
        <v>177</v>
      </c>
      <c r="B210" t="str">
        <f t="shared" si="1"/>
        <v>Trial 1</v>
      </c>
      <c r="C210" t="s">
        <v>176</v>
      </c>
      <c r="D210" t="s">
        <v>148</v>
      </c>
      <c r="E210" t="s">
        <v>336</v>
      </c>
      <c r="F210" s="41">
        <v>0.23300000000000001</v>
      </c>
      <c r="G210" s="41">
        <v>2.1739999999999999</v>
      </c>
      <c r="H210" s="41">
        <v>2.5550000000000002</v>
      </c>
      <c r="I210" s="41">
        <v>0.28000000000000003</v>
      </c>
      <c r="J210" s="41">
        <v>0</v>
      </c>
      <c r="K210" s="41">
        <v>0.27</v>
      </c>
      <c r="L210" s="41">
        <v>222.2</v>
      </c>
      <c r="M210" s="41">
        <v>0</v>
      </c>
      <c r="N210" s="41">
        <v>3.74</v>
      </c>
      <c r="O210" s="41">
        <v>2.2759999999999998</v>
      </c>
    </row>
    <row r="211" spans="1:15">
      <c r="A211" t="s">
        <v>178</v>
      </c>
      <c r="B211" t="str">
        <f t="shared" si="1"/>
        <v>Trial 1</v>
      </c>
      <c r="C211" t="s">
        <v>176</v>
      </c>
      <c r="D211" t="s">
        <v>148</v>
      </c>
      <c r="E211" t="s">
        <v>336</v>
      </c>
      <c r="F211" s="41">
        <v>0.218</v>
      </c>
      <c r="G211" s="41">
        <v>2.1269999999999998</v>
      </c>
      <c r="H211" s="41">
        <v>2.42</v>
      </c>
      <c r="I211" s="41">
        <v>0.26800000000000002</v>
      </c>
      <c r="J211" s="41">
        <v>0.02</v>
      </c>
      <c r="K211" s="41">
        <v>0.44</v>
      </c>
      <c r="L211" s="41">
        <v>220.1</v>
      </c>
      <c r="M211" s="41">
        <v>0</v>
      </c>
      <c r="N211" s="41">
        <v>3.65</v>
      </c>
      <c r="O211" s="41">
        <v>2.1379999999999999</v>
      </c>
    </row>
    <row r="212" spans="1:15">
      <c r="A212" t="s">
        <v>179</v>
      </c>
      <c r="B212" t="str">
        <f t="shared" si="1"/>
        <v>Trial 1</v>
      </c>
      <c r="C212" t="s">
        <v>180</v>
      </c>
      <c r="D212" t="s">
        <v>148</v>
      </c>
      <c r="E212" t="s">
        <v>336</v>
      </c>
      <c r="F212" s="41">
        <v>0.28299999999999997</v>
      </c>
      <c r="G212" s="41">
        <v>2.3919999999999999</v>
      </c>
      <c r="H212" s="41">
        <v>2.1309999999999998</v>
      </c>
      <c r="I212" s="41">
        <v>0.24099999999999999</v>
      </c>
      <c r="J212" s="41">
        <v>0.67</v>
      </c>
      <c r="K212" s="41">
        <v>0.56000000000000005</v>
      </c>
      <c r="L212" s="41">
        <v>181.1</v>
      </c>
      <c r="M212" s="41">
        <v>0.15</v>
      </c>
      <c r="N212" s="41">
        <v>3.31</v>
      </c>
      <c r="O212" s="41">
        <v>2.835</v>
      </c>
    </row>
    <row r="213" spans="1:15">
      <c r="A213" t="s">
        <v>181</v>
      </c>
      <c r="B213" t="str">
        <f t="shared" si="1"/>
        <v>Trial 1</v>
      </c>
      <c r="C213" t="s">
        <v>180</v>
      </c>
      <c r="D213" t="s">
        <v>148</v>
      </c>
      <c r="E213" t="s">
        <v>336</v>
      </c>
      <c r="F213" s="41">
        <v>0.34699999999999998</v>
      </c>
      <c r="G213" s="41">
        <v>2.6230000000000002</v>
      </c>
      <c r="H213" s="41">
        <v>2.0870000000000002</v>
      </c>
      <c r="I213" s="41">
        <v>0.27200000000000002</v>
      </c>
      <c r="J213" s="41">
        <v>1.01</v>
      </c>
      <c r="K213" s="41">
        <v>0.64</v>
      </c>
      <c r="L213" s="41">
        <v>178.9</v>
      </c>
      <c r="M213" s="41">
        <v>0.19</v>
      </c>
      <c r="N213" s="41">
        <v>3.26</v>
      </c>
      <c r="O213" s="41">
        <v>3.3079999999999998</v>
      </c>
    </row>
    <row r="214" spans="1:15">
      <c r="A214" t="s">
        <v>182</v>
      </c>
      <c r="B214" t="str">
        <f t="shared" si="1"/>
        <v>Trial 1</v>
      </c>
      <c r="C214" t="s">
        <v>180</v>
      </c>
      <c r="D214" t="s">
        <v>148</v>
      </c>
      <c r="E214" t="s">
        <v>336</v>
      </c>
      <c r="F214" s="41">
        <v>0.34899999999999998</v>
      </c>
      <c r="G214" s="41">
        <v>2.6</v>
      </c>
      <c r="H214" s="41">
        <v>2.157</v>
      </c>
      <c r="I214" s="41">
        <v>0.35799999999999998</v>
      </c>
      <c r="J214" s="41">
        <v>0.64</v>
      </c>
      <c r="K214" s="41">
        <v>0.55000000000000004</v>
      </c>
      <c r="L214" s="41">
        <v>180.4</v>
      </c>
      <c r="M214" s="41">
        <v>0.06</v>
      </c>
      <c r="N214" s="41">
        <v>3.24</v>
      </c>
      <c r="O214" s="41">
        <v>3.4289999999999998</v>
      </c>
    </row>
    <row r="215" spans="1:15">
      <c r="A215" t="s">
        <v>183</v>
      </c>
      <c r="B215" t="str">
        <f t="shared" si="1"/>
        <v>Trial 1</v>
      </c>
      <c r="C215" t="s">
        <v>184</v>
      </c>
      <c r="D215" t="s">
        <v>148</v>
      </c>
      <c r="E215" t="s">
        <v>336</v>
      </c>
      <c r="F215" s="41">
        <v>0.30199999999999999</v>
      </c>
      <c r="G215" s="41">
        <v>1.647</v>
      </c>
      <c r="H215" s="41">
        <v>2.4889999999999999</v>
      </c>
      <c r="I215" s="41">
        <v>0.32600000000000001</v>
      </c>
      <c r="J215" s="41">
        <v>0</v>
      </c>
      <c r="K215" s="41">
        <v>0.37</v>
      </c>
      <c r="L215" s="41">
        <v>228.4</v>
      </c>
      <c r="M215" s="41">
        <v>0</v>
      </c>
      <c r="N215" s="41">
        <v>3.77</v>
      </c>
      <c r="O215" s="41">
        <v>1.97</v>
      </c>
    </row>
    <row r="216" spans="1:15">
      <c r="A216" t="s">
        <v>185</v>
      </c>
      <c r="B216" t="str">
        <f t="shared" si="1"/>
        <v>Trial 1</v>
      </c>
      <c r="C216" t="s">
        <v>184</v>
      </c>
      <c r="D216" t="s">
        <v>148</v>
      </c>
      <c r="E216" t="s">
        <v>336</v>
      </c>
      <c r="F216" s="41">
        <v>0.24199999999999999</v>
      </c>
      <c r="G216" s="41">
        <v>1.6539999999999999</v>
      </c>
      <c r="H216" s="41">
        <v>2.5099999999999998</v>
      </c>
      <c r="I216" s="41">
        <v>0.28499999999999998</v>
      </c>
      <c r="J216" s="41">
        <v>0</v>
      </c>
      <c r="K216" s="41">
        <v>0.41</v>
      </c>
      <c r="L216" s="41">
        <v>232.8</v>
      </c>
      <c r="M216" s="41">
        <v>0.08</v>
      </c>
      <c r="N216" s="41">
        <v>3.74</v>
      </c>
      <c r="O216" s="41">
        <v>2.5419999999999998</v>
      </c>
    </row>
    <row r="217" spans="1:15">
      <c r="A217" t="s">
        <v>186</v>
      </c>
      <c r="B217" t="str">
        <f t="shared" si="1"/>
        <v>Trial 1</v>
      </c>
      <c r="C217" t="s">
        <v>184</v>
      </c>
      <c r="D217" t="s">
        <v>148</v>
      </c>
      <c r="E217" t="s">
        <v>336</v>
      </c>
      <c r="F217" s="41">
        <v>0.246</v>
      </c>
      <c r="G217" s="41">
        <v>1.6859999999999999</v>
      </c>
      <c r="H217" s="41">
        <v>2.5790000000000002</v>
      </c>
      <c r="I217" s="41">
        <v>0.23599999999999999</v>
      </c>
      <c r="J217" s="41">
        <v>0.01</v>
      </c>
      <c r="K217" s="41">
        <v>0.36</v>
      </c>
      <c r="L217" s="41">
        <v>237.1</v>
      </c>
      <c r="M217" s="41">
        <v>0</v>
      </c>
      <c r="N217" s="41">
        <v>3.7</v>
      </c>
      <c r="O217" s="41">
        <v>2.0139999999999998</v>
      </c>
    </row>
    <row r="218" spans="1:15">
      <c r="A218" t="s">
        <v>163</v>
      </c>
      <c r="B218" t="str">
        <f t="shared" si="1"/>
        <v>Trial 1</v>
      </c>
      <c r="C218" t="s">
        <v>164</v>
      </c>
      <c r="D218" t="s">
        <v>323</v>
      </c>
      <c r="E218" t="s">
        <v>335</v>
      </c>
      <c r="F218" s="41">
        <v>0.39400000000000002</v>
      </c>
      <c r="G218" s="41">
        <v>2.5089999999999999</v>
      </c>
      <c r="H218" s="41">
        <v>2.2669999999999999</v>
      </c>
      <c r="I218" s="41">
        <v>0.24299999999999999</v>
      </c>
      <c r="J218" s="41">
        <v>1.7</v>
      </c>
      <c r="K218" s="41">
        <v>0.69</v>
      </c>
      <c r="L218" s="41">
        <v>187.5</v>
      </c>
      <c r="M218" s="41">
        <v>0.16</v>
      </c>
      <c r="N218" s="41">
        <v>3.31</v>
      </c>
      <c r="O218" s="41">
        <v>3.5859999999999999</v>
      </c>
    </row>
    <row r="219" spans="1:15">
      <c r="A219" t="s">
        <v>165</v>
      </c>
      <c r="B219" t="str">
        <f t="shared" si="1"/>
        <v>Trial 1</v>
      </c>
      <c r="C219" t="s">
        <v>164</v>
      </c>
      <c r="D219" t="s">
        <v>323</v>
      </c>
      <c r="E219" t="s">
        <v>335</v>
      </c>
      <c r="F219" s="41">
        <v>0.36099999999999999</v>
      </c>
      <c r="G219" s="41">
        <v>2.246</v>
      </c>
      <c r="H219" s="41">
        <v>2.1349999999999998</v>
      </c>
      <c r="I219" s="41">
        <v>0.36899999999999999</v>
      </c>
      <c r="J219" s="41">
        <v>0.72</v>
      </c>
      <c r="K219" s="41">
        <v>0.56000000000000005</v>
      </c>
      <c r="L219" s="41">
        <v>158.80000000000001</v>
      </c>
      <c r="M219" s="41">
        <v>0.18</v>
      </c>
      <c r="N219" s="41">
        <v>3.23</v>
      </c>
      <c r="O219" s="41">
        <v>2.8919999999999999</v>
      </c>
    </row>
    <row r="220" spans="1:15">
      <c r="A220" t="s">
        <v>166</v>
      </c>
      <c r="B220" t="str">
        <f t="shared" si="1"/>
        <v>Trial 1</v>
      </c>
      <c r="C220" t="s">
        <v>164</v>
      </c>
      <c r="D220" t="s">
        <v>323</v>
      </c>
      <c r="E220" t="s">
        <v>335</v>
      </c>
      <c r="F220" s="41">
        <v>0.37</v>
      </c>
      <c r="G220" s="41">
        <v>2.5640000000000001</v>
      </c>
      <c r="H220" s="41">
        <v>2.2639999999999998</v>
      </c>
      <c r="I220" s="41">
        <v>0.4</v>
      </c>
      <c r="J220" s="41">
        <v>0.83</v>
      </c>
      <c r="K220" s="41">
        <v>0.52</v>
      </c>
      <c r="L220" s="41">
        <v>135.4</v>
      </c>
      <c r="M220" s="41">
        <v>0.1</v>
      </c>
      <c r="N220" s="41">
        <v>3.24</v>
      </c>
      <c r="O220" s="41">
        <v>3.3580000000000001</v>
      </c>
    </row>
    <row r="221" spans="1:15">
      <c r="A221" t="s">
        <v>167</v>
      </c>
      <c r="B221" t="str">
        <f t="shared" ref="B221:B271" si="2">B220</f>
        <v>Trial 1</v>
      </c>
      <c r="C221" t="s">
        <v>168</v>
      </c>
      <c r="D221" t="s">
        <v>323</v>
      </c>
      <c r="E221" t="s">
        <v>335</v>
      </c>
      <c r="F221" s="41">
        <v>0.33600000000000002</v>
      </c>
      <c r="G221" s="41">
        <v>2.6429999999999998</v>
      </c>
      <c r="H221" s="41">
        <v>2.1459999999999999</v>
      </c>
      <c r="I221" s="41">
        <v>0.313</v>
      </c>
      <c r="J221" s="41">
        <v>1</v>
      </c>
      <c r="K221" s="41">
        <v>0.54</v>
      </c>
      <c r="L221" s="41">
        <v>173</v>
      </c>
      <c r="M221" s="41">
        <v>0</v>
      </c>
      <c r="N221" s="41">
        <v>3.27</v>
      </c>
      <c r="O221" s="41">
        <v>3.7690000000000001</v>
      </c>
    </row>
    <row r="222" spans="1:15">
      <c r="A222" t="s">
        <v>169</v>
      </c>
      <c r="B222" t="str">
        <f t="shared" si="2"/>
        <v>Trial 1</v>
      </c>
      <c r="C222" t="s">
        <v>168</v>
      </c>
      <c r="D222" t="s">
        <v>323</v>
      </c>
      <c r="E222" t="s">
        <v>335</v>
      </c>
      <c r="F222" s="41">
        <v>0.38600000000000001</v>
      </c>
      <c r="G222" s="41">
        <v>2.6269999999999998</v>
      </c>
      <c r="H222" s="41">
        <v>2.3759999999999999</v>
      </c>
      <c r="I222" s="41">
        <v>0.37</v>
      </c>
      <c r="J222" s="41">
        <v>1.26</v>
      </c>
      <c r="K222" s="41">
        <v>0.6</v>
      </c>
      <c r="L222" s="41">
        <v>193.5</v>
      </c>
      <c r="M222" s="41">
        <v>0</v>
      </c>
      <c r="N222" s="41">
        <v>3.42</v>
      </c>
      <c r="O222" s="41">
        <v>3.3479999999999999</v>
      </c>
    </row>
    <row r="223" spans="1:15">
      <c r="A223" t="s">
        <v>170</v>
      </c>
      <c r="B223" t="str">
        <f t="shared" si="2"/>
        <v>Trial 1</v>
      </c>
      <c r="C223" t="s">
        <v>168</v>
      </c>
      <c r="D223" t="s">
        <v>323</v>
      </c>
      <c r="E223" t="s">
        <v>335</v>
      </c>
      <c r="F223" s="41">
        <v>0.36599999999999999</v>
      </c>
      <c r="G223" s="41">
        <v>2.774</v>
      </c>
      <c r="H223" s="41">
        <v>2.2429999999999999</v>
      </c>
      <c r="I223" s="41">
        <v>0.33700000000000002</v>
      </c>
      <c r="J223" s="41">
        <v>1.59</v>
      </c>
      <c r="K223" s="41">
        <v>0.65</v>
      </c>
      <c r="L223" s="41">
        <v>179.4</v>
      </c>
      <c r="M223" s="41">
        <v>0</v>
      </c>
      <c r="N223" s="41">
        <v>3.25</v>
      </c>
      <c r="O223" s="41">
        <v>3.8959999999999999</v>
      </c>
    </row>
    <row r="224" spans="1:15">
      <c r="A224" t="s">
        <v>171</v>
      </c>
      <c r="B224" t="str">
        <f t="shared" si="2"/>
        <v>Trial 1</v>
      </c>
      <c r="C224" t="s">
        <v>172</v>
      </c>
      <c r="D224" t="s">
        <v>323</v>
      </c>
      <c r="E224" t="s">
        <v>335</v>
      </c>
      <c r="F224" s="41">
        <v>0.32700000000000001</v>
      </c>
      <c r="G224" s="41">
        <v>2.1379999999999999</v>
      </c>
      <c r="H224" s="41">
        <v>2.1739999999999999</v>
      </c>
      <c r="I224" s="41">
        <v>0.29399999999999998</v>
      </c>
      <c r="J224" s="41">
        <v>0.78</v>
      </c>
      <c r="K224" s="41">
        <v>0.47</v>
      </c>
      <c r="L224" s="41">
        <v>192.6</v>
      </c>
      <c r="M224" s="41">
        <v>0</v>
      </c>
      <c r="N224" s="41">
        <v>3.31</v>
      </c>
      <c r="O224" s="41">
        <v>3.0960000000000001</v>
      </c>
    </row>
    <row r="225" spans="1:15">
      <c r="A225" t="s">
        <v>173</v>
      </c>
      <c r="B225" t="str">
        <f t="shared" si="2"/>
        <v>Trial 1</v>
      </c>
      <c r="C225" t="s">
        <v>172</v>
      </c>
      <c r="D225" t="s">
        <v>323</v>
      </c>
      <c r="E225" t="s">
        <v>335</v>
      </c>
      <c r="F225" s="41">
        <v>0.32200000000000001</v>
      </c>
      <c r="G225" s="41">
        <v>2.589</v>
      </c>
      <c r="H225" s="41">
        <v>2.238</v>
      </c>
      <c r="I225" s="41">
        <v>0.32800000000000001</v>
      </c>
      <c r="J225" s="41">
        <v>1.25</v>
      </c>
      <c r="K225" s="41">
        <v>0.43</v>
      </c>
      <c r="L225" s="41">
        <v>208</v>
      </c>
      <c r="M225" s="41">
        <v>0.09</v>
      </c>
      <c r="N225" s="41">
        <v>3.38</v>
      </c>
      <c r="O225" s="41">
        <v>3.363</v>
      </c>
    </row>
    <row r="226" spans="1:15">
      <c r="A226" t="s">
        <v>174</v>
      </c>
      <c r="B226" t="str">
        <f t="shared" si="2"/>
        <v>Trial 1</v>
      </c>
      <c r="C226" t="s">
        <v>172</v>
      </c>
      <c r="D226" t="s">
        <v>323</v>
      </c>
      <c r="E226" t="s">
        <v>335</v>
      </c>
      <c r="F226" s="41">
        <v>0.30099999999999999</v>
      </c>
      <c r="G226" s="41">
        <v>2.258</v>
      </c>
      <c r="H226" s="41">
        <v>2.1560000000000001</v>
      </c>
      <c r="I226" s="41">
        <v>0.31</v>
      </c>
      <c r="J226" s="41">
        <v>0.77</v>
      </c>
      <c r="K226" s="41">
        <v>0.38</v>
      </c>
      <c r="L226" s="41">
        <v>189.5</v>
      </c>
      <c r="M226" s="41">
        <v>0.12</v>
      </c>
      <c r="N226" s="41">
        <v>3.31</v>
      </c>
      <c r="O226" s="41">
        <v>3.0419999999999998</v>
      </c>
    </row>
    <row r="227" spans="1:15">
      <c r="A227" t="s">
        <v>175</v>
      </c>
      <c r="B227" t="str">
        <f t="shared" si="2"/>
        <v>Trial 1</v>
      </c>
      <c r="C227" t="s">
        <v>176</v>
      </c>
      <c r="D227" t="s">
        <v>323</v>
      </c>
      <c r="E227" t="s">
        <v>336</v>
      </c>
      <c r="F227" s="41">
        <v>0.23300000000000001</v>
      </c>
      <c r="G227" s="41">
        <v>1.837</v>
      </c>
      <c r="H227" s="41">
        <v>2.343</v>
      </c>
      <c r="I227" s="41">
        <v>0.152</v>
      </c>
      <c r="J227" s="41">
        <v>0</v>
      </c>
      <c r="K227" s="41">
        <v>0.3</v>
      </c>
      <c r="L227" s="41">
        <v>221.4</v>
      </c>
      <c r="M227" s="41">
        <v>0</v>
      </c>
      <c r="N227" s="41">
        <v>3.74</v>
      </c>
      <c r="O227" s="41">
        <v>2.02</v>
      </c>
    </row>
    <row r="228" spans="1:15">
      <c r="A228" t="s">
        <v>177</v>
      </c>
      <c r="B228" t="str">
        <f t="shared" si="2"/>
        <v>Trial 1</v>
      </c>
      <c r="C228" t="s">
        <v>176</v>
      </c>
      <c r="D228" t="s">
        <v>323</v>
      </c>
      <c r="E228" t="s">
        <v>336</v>
      </c>
      <c r="F228" s="41">
        <v>0.23300000000000001</v>
      </c>
      <c r="G228" s="41">
        <v>2.1739999999999999</v>
      </c>
      <c r="H228" s="41">
        <v>2.5550000000000002</v>
      </c>
      <c r="I228" s="41">
        <v>0.28000000000000003</v>
      </c>
      <c r="J228" s="41">
        <v>0</v>
      </c>
      <c r="K228" s="41">
        <v>0.27</v>
      </c>
      <c r="L228" s="41">
        <v>222.2</v>
      </c>
      <c r="M228" s="41">
        <v>0</v>
      </c>
      <c r="N228" s="41">
        <v>3.74</v>
      </c>
      <c r="O228" s="41">
        <v>2.2759999999999998</v>
      </c>
    </row>
    <row r="229" spans="1:15">
      <c r="A229" t="s">
        <v>178</v>
      </c>
      <c r="B229" t="str">
        <f t="shared" si="2"/>
        <v>Trial 1</v>
      </c>
      <c r="C229" t="s">
        <v>176</v>
      </c>
      <c r="D229" t="s">
        <v>323</v>
      </c>
      <c r="E229" t="s">
        <v>336</v>
      </c>
      <c r="F229" s="41">
        <v>0.218</v>
      </c>
      <c r="G229" s="41">
        <v>2.1269999999999998</v>
      </c>
      <c r="H229" s="41">
        <v>2.42</v>
      </c>
      <c r="I229" s="41">
        <v>0.26800000000000002</v>
      </c>
      <c r="J229" s="41">
        <v>0.02</v>
      </c>
      <c r="K229" s="41">
        <v>0.44</v>
      </c>
      <c r="L229" s="41">
        <v>220.1</v>
      </c>
      <c r="M229" s="41">
        <v>0</v>
      </c>
      <c r="N229" s="41">
        <v>3.65</v>
      </c>
      <c r="O229" s="41">
        <v>2.1379999999999999</v>
      </c>
    </row>
    <row r="230" spans="1:15">
      <c r="A230" t="s">
        <v>179</v>
      </c>
      <c r="B230" t="str">
        <f t="shared" si="2"/>
        <v>Trial 1</v>
      </c>
      <c r="C230" t="s">
        <v>180</v>
      </c>
      <c r="D230" t="s">
        <v>323</v>
      </c>
      <c r="E230" t="s">
        <v>336</v>
      </c>
      <c r="F230" s="41">
        <v>0.28299999999999997</v>
      </c>
      <c r="G230" s="41">
        <v>2.3919999999999999</v>
      </c>
      <c r="H230" s="41">
        <v>2.1309999999999998</v>
      </c>
      <c r="I230" s="41">
        <v>0.24099999999999999</v>
      </c>
      <c r="J230" s="41">
        <v>0.67</v>
      </c>
      <c r="K230" s="41">
        <v>0.56000000000000005</v>
      </c>
      <c r="L230" s="41">
        <v>181.1</v>
      </c>
      <c r="M230" s="41">
        <v>0.15</v>
      </c>
      <c r="N230" s="41">
        <v>3.31</v>
      </c>
      <c r="O230" s="41">
        <v>2.835</v>
      </c>
    </row>
    <row r="231" spans="1:15">
      <c r="A231" t="s">
        <v>181</v>
      </c>
      <c r="B231" t="str">
        <f t="shared" si="2"/>
        <v>Trial 1</v>
      </c>
      <c r="C231" t="s">
        <v>180</v>
      </c>
      <c r="D231" t="s">
        <v>323</v>
      </c>
      <c r="E231" t="s">
        <v>336</v>
      </c>
      <c r="F231" s="41">
        <v>0.34699999999999998</v>
      </c>
      <c r="G231" s="41">
        <v>2.6230000000000002</v>
      </c>
      <c r="H231" s="41">
        <v>2.0870000000000002</v>
      </c>
      <c r="I231" s="41">
        <v>0.27200000000000002</v>
      </c>
      <c r="J231" s="41">
        <v>1.01</v>
      </c>
      <c r="K231" s="41">
        <v>0.64</v>
      </c>
      <c r="L231" s="41">
        <v>178.9</v>
      </c>
      <c r="M231" s="41">
        <v>0.19</v>
      </c>
      <c r="N231" s="41">
        <v>3.26</v>
      </c>
      <c r="O231" s="41">
        <v>3.3079999999999998</v>
      </c>
    </row>
    <row r="232" spans="1:15">
      <c r="A232" t="s">
        <v>182</v>
      </c>
      <c r="B232" t="str">
        <f t="shared" si="2"/>
        <v>Trial 1</v>
      </c>
      <c r="C232" t="s">
        <v>180</v>
      </c>
      <c r="D232" t="s">
        <v>323</v>
      </c>
      <c r="E232" t="s">
        <v>336</v>
      </c>
      <c r="F232" s="41">
        <v>0.34899999999999998</v>
      </c>
      <c r="G232" s="41">
        <v>2.6</v>
      </c>
      <c r="H232" s="41">
        <v>2.157</v>
      </c>
      <c r="I232" s="41">
        <v>0.35799999999999998</v>
      </c>
      <c r="J232" s="41">
        <v>0.64</v>
      </c>
      <c r="K232" s="41">
        <v>0.55000000000000004</v>
      </c>
      <c r="L232" s="41">
        <v>180.4</v>
      </c>
      <c r="M232" s="41">
        <v>0.06</v>
      </c>
      <c r="N232" s="41">
        <v>3.24</v>
      </c>
      <c r="O232" s="41">
        <v>3.4289999999999998</v>
      </c>
    </row>
    <row r="233" spans="1:15">
      <c r="A233" t="s">
        <v>183</v>
      </c>
      <c r="B233" t="str">
        <f t="shared" si="2"/>
        <v>Trial 1</v>
      </c>
      <c r="C233" t="s">
        <v>184</v>
      </c>
      <c r="D233" t="s">
        <v>323</v>
      </c>
      <c r="E233" t="s">
        <v>336</v>
      </c>
      <c r="F233" s="41">
        <v>0.30199999999999999</v>
      </c>
      <c r="G233" s="41">
        <v>1.647</v>
      </c>
      <c r="H233" s="41">
        <v>2.4889999999999999</v>
      </c>
      <c r="I233" s="41">
        <v>0.32600000000000001</v>
      </c>
      <c r="J233" s="41">
        <v>0</v>
      </c>
      <c r="K233" s="41">
        <v>0.37</v>
      </c>
      <c r="L233" s="41">
        <v>228.4</v>
      </c>
      <c r="M233" s="41">
        <v>0</v>
      </c>
      <c r="N233" s="41">
        <v>3.77</v>
      </c>
      <c r="O233" s="41">
        <v>1.97</v>
      </c>
    </row>
    <row r="234" spans="1:15">
      <c r="A234" t="s">
        <v>185</v>
      </c>
      <c r="B234" t="str">
        <f t="shared" si="2"/>
        <v>Trial 1</v>
      </c>
      <c r="C234" t="s">
        <v>184</v>
      </c>
      <c r="D234" t="s">
        <v>323</v>
      </c>
      <c r="E234" t="s">
        <v>336</v>
      </c>
      <c r="F234" s="41">
        <v>0.24199999999999999</v>
      </c>
      <c r="G234" s="41">
        <v>1.6539999999999999</v>
      </c>
      <c r="H234" s="41">
        <v>2.5099999999999998</v>
      </c>
      <c r="I234" s="41">
        <v>0.28499999999999998</v>
      </c>
      <c r="J234" s="41">
        <v>0</v>
      </c>
      <c r="K234" s="41">
        <v>0.41</v>
      </c>
      <c r="L234" s="41">
        <v>232.8</v>
      </c>
      <c r="M234" s="41">
        <v>0.08</v>
      </c>
      <c r="N234" s="41">
        <v>3.74</v>
      </c>
      <c r="O234" s="41">
        <v>2.5419999999999998</v>
      </c>
    </row>
    <row r="235" spans="1:15">
      <c r="A235" t="s">
        <v>186</v>
      </c>
      <c r="B235" t="str">
        <f t="shared" si="2"/>
        <v>Trial 1</v>
      </c>
      <c r="C235" t="s">
        <v>184</v>
      </c>
      <c r="D235" t="s">
        <v>323</v>
      </c>
      <c r="E235" t="s">
        <v>336</v>
      </c>
      <c r="F235" s="41">
        <v>0.246</v>
      </c>
      <c r="G235" s="41">
        <v>1.6859999999999999</v>
      </c>
      <c r="H235" s="41">
        <v>2.5790000000000002</v>
      </c>
      <c r="I235" s="41">
        <v>0.23599999999999999</v>
      </c>
      <c r="J235" s="41">
        <v>0.01</v>
      </c>
      <c r="K235" s="41">
        <v>0.36</v>
      </c>
      <c r="L235" s="41">
        <v>237.1</v>
      </c>
      <c r="M235" s="41">
        <v>0</v>
      </c>
      <c r="N235" s="41">
        <v>3.7</v>
      </c>
      <c r="O235" s="41">
        <v>2.0139999999999998</v>
      </c>
    </row>
    <row r="236" spans="1:15">
      <c r="A236" t="s">
        <v>163</v>
      </c>
      <c r="B236" t="str">
        <f t="shared" si="2"/>
        <v>Trial 1</v>
      </c>
      <c r="C236" t="s">
        <v>164</v>
      </c>
      <c r="D236" t="s">
        <v>156</v>
      </c>
      <c r="E236" t="s">
        <v>335</v>
      </c>
      <c r="F236" s="41">
        <v>0.39400000000000002</v>
      </c>
      <c r="G236" s="41">
        <v>2.5089999999999999</v>
      </c>
      <c r="H236" s="41">
        <v>2.2669999999999999</v>
      </c>
      <c r="I236" s="41">
        <v>0.24299999999999999</v>
      </c>
      <c r="J236" s="41">
        <v>1.7</v>
      </c>
      <c r="K236" s="41">
        <v>0.69</v>
      </c>
      <c r="L236" s="41">
        <v>187.5</v>
      </c>
      <c r="M236" s="41">
        <v>0.16</v>
      </c>
      <c r="N236" s="41">
        <v>3.31</v>
      </c>
      <c r="O236" s="41">
        <v>3.5859999999999999</v>
      </c>
    </row>
    <row r="237" spans="1:15">
      <c r="A237" t="s">
        <v>165</v>
      </c>
      <c r="B237" t="str">
        <f t="shared" si="2"/>
        <v>Trial 1</v>
      </c>
      <c r="C237" t="s">
        <v>164</v>
      </c>
      <c r="D237" t="s">
        <v>156</v>
      </c>
      <c r="E237" t="s">
        <v>335</v>
      </c>
      <c r="F237" s="41">
        <v>0.36099999999999999</v>
      </c>
      <c r="G237" s="41">
        <v>2.246</v>
      </c>
      <c r="H237" s="41">
        <v>2.1349999999999998</v>
      </c>
      <c r="I237" s="41">
        <v>0.36899999999999999</v>
      </c>
      <c r="J237" s="41">
        <v>0.72</v>
      </c>
      <c r="K237" s="41">
        <v>0.56000000000000005</v>
      </c>
      <c r="L237" s="41">
        <v>158.80000000000001</v>
      </c>
      <c r="M237" s="41">
        <v>0.18</v>
      </c>
      <c r="N237" s="41">
        <v>3.23</v>
      </c>
      <c r="O237" s="41">
        <v>2.8919999999999999</v>
      </c>
    </row>
    <row r="238" spans="1:15">
      <c r="A238" t="s">
        <v>166</v>
      </c>
      <c r="B238" t="str">
        <f t="shared" si="2"/>
        <v>Trial 1</v>
      </c>
      <c r="C238" t="s">
        <v>164</v>
      </c>
      <c r="D238" t="s">
        <v>156</v>
      </c>
      <c r="E238" t="s">
        <v>335</v>
      </c>
      <c r="F238" s="41">
        <v>0.37</v>
      </c>
      <c r="G238" s="41">
        <v>2.5640000000000001</v>
      </c>
      <c r="H238" s="41">
        <v>2.2639999999999998</v>
      </c>
      <c r="I238" s="41">
        <v>0.4</v>
      </c>
      <c r="J238" s="41">
        <v>0.83</v>
      </c>
      <c r="K238" s="41">
        <v>0.52</v>
      </c>
      <c r="L238" s="41">
        <v>135.4</v>
      </c>
      <c r="M238" s="41">
        <v>0.1</v>
      </c>
      <c r="N238" s="41">
        <v>3.24</v>
      </c>
      <c r="O238" s="41">
        <v>3.3580000000000001</v>
      </c>
    </row>
    <row r="239" spans="1:15">
      <c r="A239" t="s">
        <v>167</v>
      </c>
      <c r="B239" t="str">
        <f t="shared" si="2"/>
        <v>Trial 1</v>
      </c>
      <c r="C239" t="s">
        <v>168</v>
      </c>
      <c r="D239" t="s">
        <v>156</v>
      </c>
      <c r="E239" t="s">
        <v>335</v>
      </c>
      <c r="F239" s="41">
        <v>0.33600000000000002</v>
      </c>
      <c r="G239" s="41">
        <v>2.6429999999999998</v>
      </c>
      <c r="H239" s="41">
        <v>2.1459999999999999</v>
      </c>
      <c r="I239" s="41">
        <v>0.313</v>
      </c>
      <c r="J239" s="41">
        <v>1</v>
      </c>
      <c r="K239" s="41">
        <v>0.54</v>
      </c>
      <c r="L239" s="41">
        <v>173</v>
      </c>
      <c r="M239" s="41">
        <v>0</v>
      </c>
      <c r="N239" s="41">
        <v>3.27</v>
      </c>
      <c r="O239" s="41">
        <v>3.7690000000000001</v>
      </c>
    </row>
    <row r="240" spans="1:15">
      <c r="A240" t="s">
        <v>169</v>
      </c>
      <c r="B240" t="str">
        <f t="shared" si="2"/>
        <v>Trial 1</v>
      </c>
      <c r="C240" t="s">
        <v>168</v>
      </c>
      <c r="D240" t="s">
        <v>156</v>
      </c>
      <c r="E240" t="s">
        <v>335</v>
      </c>
      <c r="F240" s="41">
        <v>0.38600000000000001</v>
      </c>
      <c r="G240" s="41">
        <v>2.6269999999999998</v>
      </c>
      <c r="H240" s="41">
        <v>2.3759999999999999</v>
      </c>
      <c r="I240" s="41">
        <v>0.37</v>
      </c>
      <c r="J240" s="41">
        <v>1.26</v>
      </c>
      <c r="K240" s="41">
        <v>0.6</v>
      </c>
      <c r="L240" s="41">
        <v>193.5</v>
      </c>
      <c r="M240" s="41">
        <v>0</v>
      </c>
      <c r="N240" s="41">
        <v>3.42</v>
      </c>
      <c r="O240" s="41">
        <v>3.3479999999999999</v>
      </c>
    </row>
    <row r="241" spans="1:15">
      <c r="A241" t="s">
        <v>170</v>
      </c>
      <c r="B241" t="str">
        <f t="shared" si="2"/>
        <v>Trial 1</v>
      </c>
      <c r="C241" t="s">
        <v>168</v>
      </c>
      <c r="D241" t="s">
        <v>156</v>
      </c>
      <c r="E241" t="s">
        <v>335</v>
      </c>
      <c r="F241" s="41">
        <v>0.36599999999999999</v>
      </c>
      <c r="G241" s="41">
        <v>2.774</v>
      </c>
      <c r="H241" s="41">
        <v>2.2429999999999999</v>
      </c>
      <c r="I241" s="41">
        <v>0.33700000000000002</v>
      </c>
      <c r="J241" s="41">
        <v>1.59</v>
      </c>
      <c r="K241" s="41">
        <v>0.65</v>
      </c>
      <c r="L241" s="41">
        <v>179.4</v>
      </c>
      <c r="M241" s="41">
        <v>0</v>
      </c>
      <c r="N241" s="41">
        <v>3.25</v>
      </c>
      <c r="O241" s="41">
        <v>3.8959999999999999</v>
      </c>
    </row>
    <row r="242" spans="1:15">
      <c r="A242" t="s">
        <v>171</v>
      </c>
      <c r="B242" t="str">
        <f t="shared" si="2"/>
        <v>Trial 1</v>
      </c>
      <c r="C242" t="s">
        <v>172</v>
      </c>
      <c r="D242" t="s">
        <v>156</v>
      </c>
      <c r="E242" t="s">
        <v>335</v>
      </c>
      <c r="F242" s="41">
        <v>0.32700000000000001</v>
      </c>
      <c r="G242" s="41">
        <v>2.1379999999999999</v>
      </c>
      <c r="H242" s="41">
        <v>2.1739999999999999</v>
      </c>
      <c r="I242" s="41">
        <v>0.29399999999999998</v>
      </c>
      <c r="J242" s="41">
        <v>0.78</v>
      </c>
      <c r="K242" s="41">
        <v>0.47</v>
      </c>
      <c r="L242" s="41">
        <v>192.6</v>
      </c>
      <c r="M242" s="41">
        <v>0</v>
      </c>
      <c r="N242" s="41">
        <v>3.31</v>
      </c>
      <c r="O242" s="41">
        <v>3.0960000000000001</v>
      </c>
    </row>
    <row r="243" spans="1:15">
      <c r="A243" t="s">
        <v>173</v>
      </c>
      <c r="B243" t="str">
        <f t="shared" si="2"/>
        <v>Trial 1</v>
      </c>
      <c r="C243" t="s">
        <v>172</v>
      </c>
      <c r="D243" t="s">
        <v>156</v>
      </c>
      <c r="E243" t="s">
        <v>335</v>
      </c>
      <c r="F243" s="41">
        <v>0.32200000000000001</v>
      </c>
      <c r="G243" s="41">
        <v>2.589</v>
      </c>
      <c r="H243" s="41">
        <v>2.238</v>
      </c>
      <c r="I243" s="41">
        <v>0.32800000000000001</v>
      </c>
      <c r="J243" s="41">
        <v>1.25</v>
      </c>
      <c r="K243" s="41">
        <v>0.43</v>
      </c>
      <c r="L243" s="41">
        <v>208</v>
      </c>
      <c r="M243" s="41">
        <v>0.09</v>
      </c>
      <c r="N243" s="41">
        <v>3.38</v>
      </c>
      <c r="O243" s="41">
        <v>3.363</v>
      </c>
    </row>
    <row r="244" spans="1:15">
      <c r="A244" t="s">
        <v>174</v>
      </c>
      <c r="B244" t="str">
        <f t="shared" si="2"/>
        <v>Trial 1</v>
      </c>
      <c r="C244" t="s">
        <v>172</v>
      </c>
      <c r="D244" t="s">
        <v>156</v>
      </c>
      <c r="E244" t="s">
        <v>335</v>
      </c>
      <c r="F244" s="41">
        <v>0.30099999999999999</v>
      </c>
      <c r="G244" s="41">
        <v>2.258</v>
      </c>
      <c r="H244" s="41">
        <v>2.1560000000000001</v>
      </c>
      <c r="I244" s="41">
        <v>0.31</v>
      </c>
      <c r="J244" s="41">
        <v>0.77</v>
      </c>
      <c r="K244" s="41">
        <v>0.38</v>
      </c>
      <c r="L244" s="41">
        <v>189.5</v>
      </c>
      <c r="M244" s="41">
        <v>0.12</v>
      </c>
      <c r="N244" s="41">
        <v>3.31</v>
      </c>
      <c r="O244" s="41">
        <v>3.0419999999999998</v>
      </c>
    </row>
    <row r="245" spans="1:15">
      <c r="A245" t="s">
        <v>175</v>
      </c>
      <c r="B245" t="str">
        <f t="shared" si="2"/>
        <v>Trial 1</v>
      </c>
      <c r="C245" t="s">
        <v>176</v>
      </c>
      <c r="D245" t="s">
        <v>156</v>
      </c>
      <c r="E245" t="s">
        <v>336</v>
      </c>
      <c r="F245" s="41">
        <v>0.23300000000000001</v>
      </c>
      <c r="G245" s="41">
        <v>1.837</v>
      </c>
      <c r="H245" s="41">
        <v>2.343</v>
      </c>
      <c r="I245" s="41">
        <v>0.152</v>
      </c>
      <c r="J245" s="41">
        <v>0</v>
      </c>
      <c r="K245" s="41">
        <v>0.3</v>
      </c>
      <c r="L245" s="41">
        <v>221.4</v>
      </c>
      <c r="M245" s="41">
        <v>0</v>
      </c>
      <c r="N245" s="41">
        <v>3.74</v>
      </c>
      <c r="O245" s="41">
        <v>2.02</v>
      </c>
    </row>
    <row r="246" spans="1:15">
      <c r="A246" t="s">
        <v>177</v>
      </c>
      <c r="B246" t="str">
        <f t="shared" si="2"/>
        <v>Trial 1</v>
      </c>
      <c r="C246" t="s">
        <v>176</v>
      </c>
      <c r="D246" t="s">
        <v>156</v>
      </c>
      <c r="E246" t="s">
        <v>336</v>
      </c>
      <c r="F246" s="41">
        <v>0.23300000000000001</v>
      </c>
      <c r="G246" s="41">
        <v>2.1739999999999999</v>
      </c>
      <c r="H246" s="41">
        <v>2.5550000000000002</v>
      </c>
      <c r="I246" s="41">
        <v>0.28000000000000003</v>
      </c>
      <c r="J246" s="41">
        <v>0</v>
      </c>
      <c r="K246" s="41">
        <v>0.27</v>
      </c>
      <c r="L246" s="41">
        <v>222.2</v>
      </c>
      <c r="M246" s="41">
        <v>0</v>
      </c>
      <c r="N246" s="41">
        <v>3.74</v>
      </c>
      <c r="O246" s="41">
        <v>2.2759999999999998</v>
      </c>
    </row>
    <row r="247" spans="1:15">
      <c r="A247" t="s">
        <v>178</v>
      </c>
      <c r="B247" t="str">
        <f t="shared" si="2"/>
        <v>Trial 1</v>
      </c>
      <c r="C247" t="s">
        <v>176</v>
      </c>
      <c r="D247" t="s">
        <v>156</v>
      </c>
      <c r="E247" t="s">
        <v>336</v>
      </c>
      <c r="F247" s="41">
        <v>0.218</v>
      </c>
      <c r="G247" s="41">
        <v>2.1269999999999998</v>
      </c>
      <c r="H247" s="41">
        <v>2.42</v>
      </c>
      <c r="I247" s="41">
        <v>0.26800000000000002</v>
      </c>
      <c r="J247" s="41">
        <v>0.02</v>
      </c>
      <c r="K247" s="41">
        <v>0.44</v>
      </c>
      <c r="L247" s="41">
        <v>220.1</v>
      </c>
      <c r="M247" s="41">
        <v>0</v>
      </c>
      <c r="N247" s="41">
        <v>3.65</v>
      </c>
      <c r="O247" s="41">
        <v>2.1379999999999999</v>
      </c>
    </row>
    <row r="248" spans="1:15">
      <c r="A248" t="s">
        <v>179</v>
      </c>
      <c r="B248" t="str">
        <f t="shared" si="2"/>
        <v>Trial 1</v>
      </c>
      <c r="C248" t="s">
        <v>180</v>
      </c>
      <c r="D248" t="s">
        <v>156</v>
      </c>
      <c r="E248" t="s">
        <v>336</v>
      </c>
      <c r="F248" s="41">
        <v>0.28299999999999997</v>
      </c>
      <c r="G248" s="41">
        <v>2.3919999999999999</v>
      </c>
      <c r="H248" s="41">
        <v>2.1309999999999998</v>
      </c>
      <c r="I248" s="41">
        <v>0.24099999999999999</v>
      </c>
      <c r="J248" s="41">
        <v>0.67</v>
      </c>
      <c r="K248" s="41">
        <v>0.56000000000000005</v>
      </c>
      <c r="L248" s="41">
        <v>181.1</v>
      </c>
      <c r="M248" s="41">
        <v>0.15</v>
      </c>
      <c r="N248" s="41">
        <v>3.31</v>
      </c>
      <c r="O248" s="41">
        <v>2.835</v>
      </c>
    </row>
    <row r="249" spans="1:15">
      <c r="A249" t="s">
        <v>181</v>
      </c>
      <c r="B249" t="str">
        <f t="shared" si="2"/>
        <v>Trial 1</v>
      </c>
      <c r="C249" t="s">
        <v>180</v>
      </c>
      <c r="D249" t="s">
        <v>156</v>
      </c>
      <c r="E249" t="s">
        <v>336</v>
      </c>
      <c r="F249" s="41">
        <v>0.34699999999999998</v>
      </c>
      <c r="G249" s="41">
        <v>2.6230000000000002</v>
      </c>
      <c r="H249" s="41">
        <v>2.0870000000000002</v>
      </c>
      <c r="I249" s="41">
        <v>0.27200000000000002</v>
      </c>
      <c r="J249" s="41">
        <v>1.01</v>
      </c>
      <c r="K249" s="41">
        <v>0.64</v>
      </c>
      <c r="L249" s="41">
        <v>178.9</v>
      </c>
      <c r="M249" s="41">
        <v>0.19</v>
      </c>
      <c r="N249" s="41">
        <v>3.26</v>
      </c>
      <c r="O249" s="41">
        <v>3.3079999999999998</v>
      </c>
    </row>
    <row r="250" spans="1:15">
      <c r="A250" t="s">
        <v>182</v>
      </c>
      <c r="B250" t="str">
        <f t="shared" si="2"/>
        <v>Trial 1</v>
      </c>
      <c r="C250" t="s">
        <v>180</v>
      </c>
      <c r="D250" t="s">
        <v>156</v>
      </c>
      <c r="E250" t="s">
        <v>336</v>
      </c>
      <c r="F250" s="41">
        <v>0.34899999999999998</v>
      </c>
      <c r="G250" s="41">
        <v>2.6</v>
      </c>
      <c r="H250" s="41">
        <v>2.157</v>
      </c>
      <c r="I250" s="41">
        <v>0.35799999999999998</v>
      </c>
      <c r="J250" s="41">
        <v>0.64</v>
      </c>
      <c r="K250" s="41">
        <v>0.55000000000000004</v>
      </c>
      <c r="L250" s="41">
        <v>180.4</v>
      </c>
      <c r="M250" s="41">
        <v>0.06</v>
      </c>
      <c r="N250" s="41">
        <v>3.24</v>
      </c>
      <c r="O250" s="41">
        <v>3.4289999999999998</v>
      </c>
    </row>
    <row r="251" spans="1:15">
      <c r="A251" t="s">
        <v>183</v>
      </c>
      <c r="B251" t="str">
        <f t="shared" si="2"/>
        <v>Trial 1</v>
      </c>
      <c r="C251" t="s">
        <v>184</v>
      </c>
      <c r="D251" t="s">
        <v>156</v>
      </c>
      <c r="E251" t="s">
        <v>336</v>
      </c>
      <c r="F251" s="41">
        <v>0.30199999999999999</v>
      </c>
      <c r="G251" s="41">
        <v>1.647</v>
      </c>
      <c r="H251" s="41">
        <v>2.4889999999999999</v>
      </c>
      <c r="I251" s="41">
        <v>0.32600000000000001</v>
      </c>
      <c r="J251" s="41">
        <v>0</v>
      </c>
      <c r="K251" s="41">
        <v>0.37</v>
      </c>
      <c r="L251" s="41">
        <v>228.4</v>
      </c>
      <c r="M251" s="41">
        <v>0</v>
      </c>
      <c r="N251" s="41">
        <v>3.77</v>
      </c>
      <c r="O251" s="41">
        <v>1.97</v>
      </c>
    </row>
    <row r="252" spans="1:15">
      <c r="A252" t="s">
        <v>185</v>
      </c>
      <c r="B252" t="str">
        <f t="shared" si="2"/>
        <v>Trial 1</v>
      </c>
      <c r="C252" t="s">
        <v>184</v>
      </c>
      <c r="D252" t="s">
        <v>156</v>
      </c>
      <c r="E252" t="s">
        <v>336</v>
      </c>
      <c r="F252" s="41">
        <v>0.24199999999999999</v>
      </c>
      <c r="G252" s="41">
        <v>1.6539999999999999</v>
      </c>
      <c r="H252" s="41">
        <v>2.5099999999999998</v>
      </c>
      <c r="I252" s="41">
        <v>0.28499999999999998</v>
      </c>
      <c r="J252" s="41">
        <v>0</v>
      </c>
      <c r="K252" s="41">
        <v>0.41</v>
      </c>
      <c r="L252" s="41">
        <v>232.8</v>
      </c>
      <c r="M252" s="41">
        <v>0.08</v>
      </c>
      <c r="N252" s="41">
        <v>3.74</v>
      </c>
      <c r="O252" s="41">
        <v>2.5419999999999998</v>
      </c>
    </row>
    <row r="253" spans="1:15">
      <c r="A253" t="s">
        <v>186</v>
      </c>
      <c r="B253" t="str">
        <f t="shared" si="2"/>
        <v>Trial 1</v>
      </c>
      <c r="C253" t="s">
        <v>184</v>
      </c>
      <c r="D253" t="s">
        <v>156</v>
      </c>
      <c r="E253" t="s">
        <v>336</v>
      </c>
      <c r="F253" s="41">
        <v>0.246</v>
      </c>
      <c r="G253" s="41">
        <v>1.6859999999999999</v>
      </c>
      <c r="H253" s="41">
        <v>2.5790000000000002</v>
      </c>
      <c r="I253" s="41">
        <v>0.23599999999999999</v>
      </c>
      <c r="J253" s="41">
        <v>0.01</v>
      </c>
      <c r="K253" s="41">
        <v>0.36</v>
      </c>
      <c r="L253" s="41">
        <v>237.1</v>
      </c>
      <c r="M253" s="41">
        <v>0</v>
      </c>
      <c r="N253" s="41">
        <v>3.7</v>
      </c>
      <c r="O253" s="41">
        <v>2.0139999999999998</v>
      </c>
    </row>
    <row r="254" spans="1:15">
      <c r="A254" t="s">
        <v>163</v>
      </c>
      <c r="B254" t="str">
        <f t="shared" si="2"/>
        <v>Trial 1</v>
      </c>
      <c r="C254" t="s">
        <v>164</v>
      </c>
      <c r="D254" t="s">
        <v>160</v>
      </c>
      <c r="E254" t="s">
        <v>335</v>
      </c>
      <c r="F254" s="41">
        <v>0.39400000000000002</v>
      </c>
      <c r="G254" s="41">
        <v>2.5089999999999999</v>
      </c>
      <c r="H254" s="41">
        <v>2.2669999999999999</v>
      </c>
      <c r="I254" s="41">
        <v>0.24299999999999999</v>
      </c>
      <c r="J254" s="41">
        <v>1.7</v>
      </c>
      <c r="K254" s="41">
        <v>0.69</v>
      </c>
      <c r="L254" s="41">
        <v>187.5</v>
      </c>
      <c r="M254" s="41">
        <v>0.16</v>
      </c>
      <c r="N254" s="41">
        <v>3.31</v>
      </c>
      <c r="O254" s="41">
        <v>3.5859999999999999</v>
      </c>
    </row>
    <row r="255" spans="1:15">
      <c r="A255" t="s">
        <v>165</v>
      </c>
      <c r="B255" t="str">
        <f t="shared" si="2"/>
        <v>Trial 1</v>
      </c>
      <c r="C255" t="s">
        <v>164</v>
      </c>
      <c r="D255" t="s">
        <v>160</v>
      </c>
      <c r="E255" t="s">
        <v>335</v>
      </c>
      <c r="F255" s="41">
        <v>0.36099999999999999</v>
      </c>
      <c r="G255" s="41">
        <v>2.246</v>
      </c>
      <c r="H255" s="41">
        <v>2.1349999999999998</v>
      </c>
      <c r="I255" s="41">
        <v>0.36899999999999999</v>
      </c>
      <c r="J255" s="41">
        <v>0.72</v>
      </c>
      <c r="K255" s="41">
        <v>0.56000000000000005</v>
      </c>
      <c r="L255" s="41">
        <v>158.80000000000001</v>
      </c>
      <c r="M255" s="41">
        <v>0.18</v>
      </c>
      <c r="N255" s="41">
        <v>3.23</v>
      </c>
      <c r="O255" s="41">
        <v>2.8919999999999999</v>
      </c>
    </row>
    <row r="256" spans="1:15">
      <c r="A256" t="s">
        <v>166</v>
      </c>
      <c r="B256" t="str">
        <f t="shared" si="2"/>
        <v>Trial 1</v>
      </c>
      <c r="C256" t="s">
        <v>164</v>
      </c>
      <c r="D256" t="s">
        <v>160</v>
      </c>
      <c r="E256" t="s">
        <v>335</v>
      </c>
      <c r="F256" s="41">
        <v>0.37</v>
      </c>
      <c r="G256" s="41">
        <v>2.5640000000000001</v>
      </c>
      <c r="H256" s="41">
        <v>2.2639999999999998</v>
      </c>
      <c r="I256" s="41">
        <v>0.4</v>
      </c>
      <c r="J256" s="41">
        <v>0.83</v>
      </c>
      <c r="K256" s="41">
        <v>0.52</v>
      </c>
      <c r="L256" s="41">
        <v>135.4</v>
      </c>
      <c r="M256" s="41">
        <v>0.1</v>
      </c>
      <c r="N256" s="41">
        <v>3.24</v>
      </c>
      <c r="O256" s="41">
        <v>3.3580000000000001</v>
      </c>
    </row>
    <row r="257" spans="1:15">
      <c r="A257" t="s">
        <v>167</v>
      </c>
      <c r="B257" t="str">
        <f t="shared" si="2"/>
        <v>Trial 1</v>
      </c>
      <c r="C257" t="s">
        <v>168</v>
      </c>
      <c r="D257" t="s">
        <v>160</v>
      </c>
      <c r="E257" t="s">
        <v>335</v>
      </c>
      <c r="F257" s="41">
        <v>0.33600000000000002</v>
      </c>
      <c r="G257" s="41">
        <v>2.6429999999999998</v>
      </c>
      <c r="H257" s="41">
        <v>2.1459999999999999</v>
      </c>
      <c r="I257" s="41">
        <v>0.313</v>
      </c>
      <c r="J257" s="41">
        <v>1</v>
      </c>
      <c r="K257" s="41">
        <v>0.54</v>
      </c>
      <c r="L257" s="41">
        <v>173</v>
      </c>
      <c r="M257" s="41">
        <v>0</v>
      </c>
      <c r="N257" s="41">
        <v>3.27</v>
      </c>
      <c r="O257" s="41">
        <v>3.7690000000000001</v>
      </c>
    </row>
    <row r="258" spans="1:15">
      <c r="A258" t="s">
        <v>169</v>
      </c>
      <c r="B258" t="str">
        <f t="shared" si="2"/>
        <v>Trial 1</v>
      </c>
      <c r="C258" t="s">
        <v>168</v>
      </c>
      <c r="D258" t="s">
        <v>160</v>
      </c>
      <c r="E258" t="s">
        <v>335</v>
      </c>
      <c r="F258" s="41">
        <v>0.38600000000000001</v>
      </c>
      <c r="G258" s="41">
        <v>2.6269999999999998</v>
      </c>
      <c r="H258" s="41">
        <v>2.3759999999999999</v>
      </c>
      <c r="I258" s="41">
        <v>0.37</v>
      </c>
      <c r="J258" s="41">
        <v>1.26</v>
      </c>
      <c r="K258" s="41">
        <v>0.6</v>
      </c>
      <c r="L258" s="41">
        <v>193.5</v>
      </c>
      <c r="M258" s="41">
        <v>0</v>
      </c>
      <c r="N258" s="41">
        <v>3.42</v>
      </c>
      <c r="O258" s="41">
        <v>3.3479999999999999</v>
      </c>
    </row>
    <row r="259" spans="1:15">
      <c r="A259" t="s">
        <v>170</v>
      </c>
      <c r="B259" t="str">
        <f t="shared" si="2"/>
        <v>Trial 1</v>
      </c>
      <c r="C259" t="s">
        <v>168</v>
      </c>
      <c r="D259" t="s">
        <v>160</v>
      </c>
      <c r="E259" t="s">
        <v>335</v>
      </c>
      <c r="F259" s="41">
        <v>0.36599999999999999</v>
      </c>
      <c r="G259" s="41">
        <v>2.774</v>
      </c>
      <c r="H259" s="41">
        <v>2.2429999999999999</v>
      </c>
      <c r="I259" s="41">
        <v>0.33700000000000002</v>
      </c>
      <c r="J259" s="41">
        <v>1.59</v>
      </c>
      <c r="K259" s="41">
        <v>0.65</v>
      </c>
      <c r="L259" s="41">
        <v>179.4</v>
      </c>
      <c r="M259" s="41">
        <v>0</v>
      </c>
      <c r="N259" s="41">
        <v>3.25</v>
      </c>
      <c r="O259" s="41">
        <v>3.8959999999999999</v>
      </c>
    </row>
    <row r="260" spans="1:15">
      <c r="A260" t="s">
        <v>171</v>
      </c>
      <c r="B260" t="str">
        <f t="shared" si="2"/>
        <v>Trial 1</v>
      </c>
      <c r="C260" t="s">
        <v>172</v>
      </c>
      <c r="D260" t="s">
        <v>160</v>
      </c>
      <c r="E260" t="s">
        <v>335</v>
      </c>
      <c r="F260" s="41">
        <v>0.32700000000000001</v>
      </c>
      <c r="G260" s="41">
        <v>2.1379999999999999</v>
      </c>
      <c r="H260" s="41">
        <v>2.1739999999999999</v>
      </c>
      <c r="I260" s="41">
        <v>0.29399999999999998</v>
      </c>
      <c r="J260" s="41">
        <v>0.78</v>
      </c>
      <c r="K260" s="41">
        <v>0.47</v>
      </c>
      <c r="L260" s="41">
        <v>192.6</v>
      </c>
      <c r="M260" s="41">
        <v>0</v>
      </c>
      <c r="N260" s="41">
        <v>3.31</v>
      </c>
      <c r="O260" s="41">
        <v>3.0960000000000001</v>
      </c>
    </row>
    <row r="261" spans="1:15">
      <c r="A261" t="s">
        <v>173</v>
      </c>
      <c r="B261" t="str">
        <f t="shared" si="2"/>
        <v>Trial 1</v>
      </c>
      <c r="C261" t="s">
        <v>172</v>
      </c>
      <c r="D261" t="s">
        <v>160</v>
      </c>
      <c r="E261" t="s">
        <v>335</v>
      </c>
      <c r="F261" s="41">
        <v>0.32200000000000001</v>
      </c>
      <c r="G261" s="41">
        <v>2.589</v>
      </c>
      <c r="H261" s="41">
        <v>2.238</v>
      </c>
      <c r="I261" s="41">
        <v>0.32800000000000001</v>
      </c>
      <c r="J261" s="41">
        <v>1.25</v>
      </c>
      <c r="K261" s="41">
        <v>0.43</v>
      </c>
      <c r="L261" s="41">
        <v>208</v>
      </c>
      <c r="M261" s="41">
        <v>0.09</v>
      </c>
      <c r="N261" s="41">
        <v>3.38</v>
      </c>
      <c r="O261" s="41">
        <v>3.363</v>
      </c>
    </row>
    <row r="262" spans="1:15">
      <c r="A262" t="s">
        <v>174</v>
      </c>
      <c r="B262" t="str">
        <f t="shared" si="2"/>
        <v>Trial 1</v>
      </c>
      <c r="C262" t="s">
        <v>172</v>
      </c>
      <c r="D262" t="s">
        <v>160</v>
      </c>
      <c r="E262" t="s">
        <v>335</v>
      </c>
      <c r="F262" s="41">
        <v>0.30099999999999999</v>
      </c>
      <c r="G262" s="41">
        <v>2.258</v>
      </c>
      <c r="H262" s="41">
        <v>2.1560000000000001</v>
      </c>
      <c r="I262" s="41">
        <v>0.31</v>
      </c>
      <c r="J262" s="41">
        <v>0.77</v>
      </c>
      <c r="K262" s="41">
        <v>0.38</v>
      </c>
      <c r="L262" s="41">
        <v>189.5</v>
      </c>
      <c r="M262" s="41">
        <v>0.12</v>
      </c>
      <c r="N262" s="41">
        <v>3.31</v>
      </c>
      <c r="O262" s="41">
        <v>3.0419999999999998</v>
      </c>
    </row>
    <row r="263" spans="1:15">
      <c r="A263" t="s">
        <v>175</v>
      </c>
      <c r="B263" t="str">
        <f t="shared" si="2"/>
        <v>Trial 1</v>
      </c>
      <c r="C263" t="s">
        <v>176</v>
      </c>
      <c r="D263" t="s">
        <v>160</v>
      </c>
      <c r="E263" t="s">
        <v>336</v>
      </c>
      <c r="F263" s="41">
        <v>0.23300000000000001</v>
      </c>
      <c r="G263" s="41">
        <v>1.837</v>
      </c>
      <c r="H263" s="41">
        <v>2.343</v>
      </c>
      <c r="I263" s="41">
        <v>0.152</v>
      </c>
      <c r="J263" s="59">
        <v>0</v>
      </c>
      <c r="K263" s="41">
        <v>0.3</v>
      </c>
      <c r="L263" s="41">
        <v>221.4</v>
      </c>
      <c r="M263" s="41">
        <v>0</v>
      </c>
      <c r="N263" s="41">
        <v>3.74</v>
      </c>
      <c r="O263" s="41">
        <v>2.02</v>
      </c>
    </row>
    <row r="264" spans="1:15">
      <c r="A264" t="s">
        <v>177</v>
      </c>
      <c r="B264" t="str">
        <f t="shared" si="2"/>
        <v>Trial 1</v>
      </c>
      <c r="C264" t="s">
        <v>176</v>
      </c>
      <c r="D264" t="s">
        <v>160</v>
      </c>
      <c r="E264" t="s">
        <v>336</v>
      </c>
      <c r="F264" s="41">
        <v>0.23300000000000001</v>
      </c>
      <c r="G264" s="41">
        <v>2.1739999999999999</v>
      </c>
      <c r="H264" s="41">
        <v>2.5550000000000002</v>
      </c>
      <c r="I264" s="41">
        <v>0.28000000000000003</v>
      </c>
      <c r="J264" s="59">
        <v>0</v>
      </c>
      <c r="K264" s="41">
        <v>0.27</v>
      </c>
      <c r="L264" s="41">
        <v>222.2</v>
      </c>
      <c r="M264" s="41">
        <v>0</v>
      </c>
      <c r="N264" s="41">
        <v>3.74</v>
      </c>
      <c r="O264" s="41">
        <v>2.2759999999999998</v>
      </c>
    </row>
    <row r="265" spans="1:15">
      <c r="A265" t="s">
        <v>178</v>
      </c>
      <c r="B265" t="str">
        <f t="shared" si="2"/>
        <v>Trial 1</v>
      </c>
      <c r="C265" t="s">
        <v>176</v>
      </c>
      <c r="D265" t="s">
        <v>160</v>
      </c>
      <c r="E265" t="s">
        <v>336</v>
      </c>
      <c r="F265" s="41">
        <v>0.218</v>
      </c>
      <c r="G265" s="41">
        <v>2.1269999999999998</v>
      </c>
      <c r="H265" s="41">
        <v>2.42</v>
      </c>
      <c r="I265" s="41">
        <v>0.26800000000000002</v>
      </c>
      <c r="J265" s="59">
        <v>0.02</v>
      </c>
      <c r="K265" s="41">
        <v>0.44</v>
      </c>
      <c r="L265" s="41">
        <v>220.1</v>
      </c>
      <c r="M265" s="41">
        <v>0</v>
      </c>
      <c r="N265" s="41">
        <v>3.65</v>
      </c>
      <c r="O265" s="41">
        <v>2.1379999999999999</v>
      </c>
    </row>
    <row r="266" spans="1:15">
      <c r="A266" t="s">
        <v>179</v>
      </c>
      <c r="B266" t="str">
        <f t="shared" si="2"/>
        <v>Trial 1</v>
      </c>
      <c r="C266" t="s">
        <v>180</v>
      </c>
      <c r="D266" t="s">
        <v>160</v>
      </c>
      <c r="E266" t="s">
        <v>336</v>
      </c>
      <c r="F266" s="41">
        <v>0.28299999999999997</v>
      </c>
      <c r="G266" s="41">
        <v>2.3919999999999999</v>
      </c>
      <c r="H266" s="41">
        <v>2.1309999999999998</v>
      </c>
      <c r="I266" s="41">
        <v>0.24099999999999999</v>
      </c>
      <c r="J266" s="59">
        <v>0.67</v>
      </c>
      <c r="K266" s="41">
        <v>0.56000000000000005</v>
      </c>
      <c r="L266" s="41">
        <v>181.1</v>
      </c>
      <c r="M266" s="41">
        <v>0.15</v>
      </c>
      <c r="N266" s="41">
        <v>3.31</v>
      </c>
      <c r="O266" s="41">
        <v>2.835</v>
      </c>
    </row>
    <row r="267" spans="1:15">
      <c r="A267" t="s">
        <v>181</v>
      </c>
      <c r="B267" t="str">
        <f t="shared" si="2"/>
        <v>Trial 1</v>
      </c>
      <c r="C267" t="s">
        <v>180</v>
      </c>
      <c r="D267" t="s">
        <v>160</v>
      </c>
      <c r="E267" t="s">
        <v>336</v>
      </c>
      <c r="F267" s="41">
        <v>0.34699999999999998</v>
      </c>
      <c r="G267" s="41">
        <v>2.6230000000000002</v>
      </c>
      <c r="H267" s="41">
        <v>2.0870000000000002</v>
      </c>
      <c r="I267" s="41">
        <v>0.27200000000000002</v>
      </c>
      <c r="J267" s="59">
        <v>1.01</v>
      </c>
      <c r="K267" s="41">
        <v>0.64</v>
      </c>
      <c r="L267" s="41">
        <v>178.9</v>
      </c>
      <c r="M267" s="41">
        <v>0.19</v>
      </c>
      <c r="N267" s="41">
        <v>3.26</v>
      </c>
      <c r="O267" s="41">
        <v>3.3079999999999998</v>
      </c>
    </row>
    <row r="268" spans="1:15">
      <c r="A268" t="s">
        <v>182</v>
      </c>
      <c r="B268" t="str">
        <f t="shared" si="2"/>
        <v>Trial 1</v>
      </c>
      <c r="C268" t="s">
        <v>180</v>
      </c>
      <c r="D268" t="s">
        <v>160</v>
      </c>
      <c r="E268" t="s">
        <v>336</v>
      </c>
      <c r="F268" s="41">
        <v>0.34899999999999998</v>
      </c>
      <c r="G268" s="41">
        <v>2.6</v>
      </c>
      <c r="H268" s="41">
        <v>2.157</v>
      </c>
      <c r="I268" s="41">
        <v>0.35799999999999998</v>
      </c>
      <c r="J268" s="59">
        <v>0.64</v>
      </c>
      <c r="K268" s="41">
        <v>0.55000000000000004</v>
      </c>
      <c r="L268" s="41">
        <v>180.4</v>
      </c>
      <c r="M268" s="41">
        <v>0.06</v>
      </c>
      <c r="N268" s="41">
        <v>3.24</v>
      </c>
      <c r="O268" s="41">
        <v>3.4289999999999998</v>
      </c>
    </row>
    <row r="269" spans="1:15">
      <c r="A269" t="s">
        <v>183</v>
      </c>
      <c r="B269" t="str">
        <f t="shared" si="2"/>
        <v>Trial 1</v>
      </c>
      <c r="C269" t="s">
        <v>184</v>
      </c>
      <c r="D269" t="s">
        <v>160</v>
      </c>
      <c r="E269" t="s">
        <v>336</v>
      </c>
      <c r="F269" s="41">
        <v>0.30199999999999999</v>
      </c>
      <c r="G269" s="41">
        <v>1.647</v>
      </c>
      <c r="H269" s="41">
        <v>2.4889999999999999</v>
      </c>
      <c r="I269" s="41">
        <v>0.32600000000000001</v>
      </c>
      <c r="J269" s="59">
        <v>0</v>
      </c>
      <c r="K269" s="41">
        <v>0.37</v>
      </c>
      <c r="L269" s="41">
        <v>228.4</v>
      </c>
      <c r="M269" s="41">
        <v>0</v>
      </c>
      <c r="N269" s="41">
        <v>3.77</v>
      </c>
      <c r="O269" s="41">
        <v>1.97</v>
      </c>
    </row>
    <row r="270" spans="1:15">
      <c r="A270" t="s">
        <v>185</v>
      </c>
      <c r="B270" t="str">
        <f t="shared" si="2"/>
        <v>Trial 1</v>
      </c>
      <c r="C270" t="s">
        <v>184</v>
      </c>
      <c r="D270" t="s">
        <v>160</v>
      </c>
      <c r="E270" t="s">
        <v>336</v>
      </c>
      <c r="F270" s="41">
        <v>0.24199999999999999</v>
      </c>
      <c r="G270" s="41">
        <v>1.6539999999999999</v>
      </c>
      <c r="H270" s="41">
        <v>2.5099999999999998</v>
      </c>
      <c r="I270" s="41">
        <v>0.28499999999999998</v>
      </c>
      <c r="J270" s="59">
        <v>0</v>
      </c>
      <c r="K270" s="41">
        <v>0.41</v>
      </c>
      <c r="L270" s="41">
        <v>232.8</v>
      </c>
      <c r="M270" s="41">
        <v>0.08</v>
      </c>
      <c r="N270" s="41">
        <v>3.74</v>
      </c>
      <c r="O270" s="41">
        <v>2.5419999999999998</v>
      </c>
    </row>
    <row r="271" spans="1:15">
      <c r="A271" t="s">
        <v>186</v>
      </c>
      <c r="B271" t="str">
        <f t="shared" si="2"/>
        <v>Trial 1</v>
      </c>
      <c r="C271" t="s">
        <v>184</v>
      </c>
      <c r="D271" t="s">
        <v>160</v>
      </c>
      <c r="E271" t="s">
        <v>336</v>
      </c>
      <c r="F271" s="41">
        <v>0.246</v>
      </c>
      <c r="G271" s="41">
        <v>1.6859999999999999</v>
      </c>
      <c r="H271" s="41">
        <v>2.5790000000000002</v>
      </c>
      <c r="I271" s="41">
        <v>0.23599999999999999</v>
      </c>
      <c r="J271" s="59">
        <v>0.01</v>
      </c>
      <c r="K271" s="41">
        <v>0.36</v>
      </c>
      <c r="L271" s="41">
        <v>237.1</v>
      </c>
      <c r="M271" s="41">
        <v>0</v>
      </c>
      <c r="N271" s="41">
        <v>3.7</v>
      </c>
      <c r="O271" s="41">
        <v>2.0139999999999998</v>
      </c>
    </row>
    <row r="272" spans="1:15">
      <c r="A272" t="s">
        <v>187</v>
      </c>
      <c r="B272" t="s">
        <v>339</v>
      </c>
      <c r="C272" t="s">
        <v>20</v>
      </c>
      <c r="D272" t="s">
        <v>320</v>
      </c>
      <c r="E272" t="s">
        <v>332</v>
      </c>
      <c r="F272" s="41">
        <v>0.58976626687464895</v>
      </c>
      <c r="G272" s="41">
        <v>3.3338091819617288</v>
      </c>
      <c r="H272" s="41">
        <v>3.7567710341831013</v>
      </c>
      <c r="I272" s="41">
        <v>1.4400296552855707</v>
      </c>
      <c r="J272" s="41">
        <v>1.63</v>
      </c>
      <c r="K272" s="41">
        <v>2.34</v>
      </c>
      <c r="L272" s="41">
        <v>127.3</v>
      </c>
      <c r="M272" s="41">
        <v>0.9</v>
      </c>
      <c r="N272" s="41">
        <v>4.8499999999999996</v>
      </c>
      <c r="O272" s="41">
        <v>5.8540000000000001</v>
      </c>
    </row>
    <row r="273" spans="1:15">
      <c r="A273" t="s">
        <v>188</v>
      </c>
      <c r="B273" t="s">
        <v>339</v>
      </c>
      <c r="C273" t="s">
        <v>20</v>
      </c>
      <c r="D273" t="s">
        <v>320</v>
      </c>
      <c r="E273" t="s">
        <v>332</v>
      </c>
      <c r="F273" s="41">
        <v>0.58030059351464003</v>
      </c>
      <c r="G273" s="41">
        <v>3.1699343355305696</v>
      </c>
      <c r="H273" s="41">
        <v>3.2796570920958792</v>
      </c>
      <c r="I273" s="41">
        <v>1.1844143605044763</v>
      </c>
      <c r="J273" s="41">
        <v>1.63</v>
      </c>
      <c r="K273" s="41">
        <v>2.0299999999999998</v>
      </c>
      <c r="L273" s="41">
        <v>94.4</v>
      </c>
      <c r="M273" s="41">
        <v>0.74</v>
      </c>
      <c r="N273" s="41">
        <v>4.9000000000000004</v>
      </c>
      <c r="O273" s="41">
        <v>5.5609999999999999</v>
      </c>
    </row>
    <row r="274" spans="1:15">
      <c r="A274" t="s">
        <v>189</v>
      </c>
      <c r="B274" t="s">
        <v>339</v>
      </c>
      <c r="C274" t="s">
        <v>20</v>
      </c>
      <c r="D274" t="s">
        <v>320</v>
      </c>
      <c r="E274" t="s">
        <v>332</v>
      </c>
      <c r="F274" s="41">
        <v>0.51514916467987948</v>
      </c>
      <c r="G274" s="41">
        <v>2.9347943248758819</v>
      </c>
      <c r="H274" s="41">
        <v>2.9158014512144361</v>
      </c>
      <c r="I274" s="41">
        <v>1.0919178068214876</v>
      </c>
      <c r="J274" s="41">
        <v>1.87</v>
      </c>
      <c r="K274" s="41">
        <v>2.4900000000000002</v>
      </c>
      <c r="L274" s="41">
        <v>94.2</v>
      </c>
      <c r="M274" s="41">
        <v>1.37</v>
      </c>
      <c r="N274" s="41">
        <v>4.28</v>
      </c>
      <c r="O274" s="41">
        <v>5.97</v>
      </c>
    </row>
    <row r="275" spans="1:15">
      <c r="A275" t="s">
        <v>190</v>
      </c>
      <c r="B275" t="s">
        <v>339</v>
      </c>
      <c r="C275" t="s">
        <v>24</v>
      </c>
      <c r="D275" t="s">
        <v>132</v>
      </c>
      <c r="E275" t="s">
        <v>332</v>
      </c>
      <c r="F275" s="41">
        <v>0.58014007154172953</v>
      </c>
      <c r="G275" s="41">
        <v>2.8017144326250887</v>
      </c>
      <c r="H275" s="41">
        <v>3.295776346960567</v>
      </c>
      <c r="I275" s="41">
        <v>1.4712493660955208</v>
      </c>
      <c r="J275" s="41">
        <v>1.29</v>
      </c>
      <c r="K275" s="41">
        <v>2.63</v>
      </c>
      <c r="L275" s="41">
        <v>106.8</v>
      </c>
      <c r="M275" s="41">
        <v>2.38</v>
      </c>
      <c r="N275" s="41">
        <v>4.79</v>
      </c>
      <c r="O275" s="41">
        <v>5.3419999999999996</v>
      </c>
    </row>
    <row r="276" spans="1:15">
      <c r="A276" t="s">
        <v>191</v>
      </c>
      <c r="B276" t="s">
        <v>339</v>
      </c>
      <c r="C276" t="s">
        <v>24</v>
      </c>
      <c r="D276" t="s">
        <v>132</v>
      </c>
      <c r="E276" t="s">
        <v>332</v>
      </c>
      <c r="F276" s="41">
        <v>0.7175229728249245</v>
      </c>
      <c r="G276" s="41">
        <v>3.1734924672125331</v>
      </c>
      <c r="H276" s="41">
        <v>3.7905467938304138</v>
      </c>
      <c r="I276" s="41">
        <v>1.7033060459113678</v>
      </c>
      <c r="J276" s="41">
        <v>1.26</v>
      </c>
      <c r="K276" s="41">
        <v>2.85</v>
      </c>
      <c r="L276" s="41">
        <v>123.7</v>
      </c>
      <c r="M276" s="41">
        <v>1.64</v>
      </c>
      <c r="N276" s="41">
        <v>5.03</v>
      </c>
      <c r="O276" s="41">
        <v>5.5179999999999998</v>
      </c>
    </row>
    <row r="277" spans="1:15">
      <c r="A277" t="s">
        <v>192</v>
      </c>
      <c r="B277" t="s">
        <v>339</v>
      </c>
      <c r="C277" t="s">
        <v>24</v>
      </c>
      <c r="D277" t="s">
        <v>132</v>
      </c>
      <c r="E277" t="s">
        <v>332</v>
      </c>
      <c r="F277" s="41">
        <v>0.71423995694279963</v>
      </c>
      <c r="G277" s="41">
        <v>3.3227641815748088</v>
      </c>
      <c r="H277" s="41">
        <v>3.6157238203386548</v>
      </c>
      <c r="I277" s="41">
        <v>1.723621364269986</v>
      </c>
      <c r="J277" s="41">
        <v>2.2799999999999998</v>
      </c>
      <c r="K277" s="41">
        <v>4.43</v>
      </c>
      <c r="L277" s="41">
        <v>103.7</v>
      </c>
      <c r="M277" s="41">
        <v>1.95</v>
      </c>
      <c r="N277" s="41">
        <v>4.8</v>
      </c>
      <c r="O277" s="41">
        <v>7.5060000000000002</v>
      </c>
    </row>
    <row r="278" spans="1:15">
      <c r="A278" t="s">
        <v>193</v>
      </c>
      <c r="B278" t="s">
        <v>339</v>
      </c>
      <c r="C278" t="s">
        <v>28</v>
      </c>
      <c r="D278" t="s">
        <v>136</v>
      </c>
      <c r="E278" t="s">
        <v>332</v>
      </c>
      <c r="F278" s="41">
        <v>0.57875087340383158</v>
      </c>
      <c r="G278" s="41">
        <v>4.6164384883645821</v>
      </c>
      <c r="H278" s="41">
        <v>2.7640702971006417</v>
      </c>
      <c r="I278" s="41">
        <v>1.558548596585809</v>
      </c>
      <c r="J278" s="41">
        <v>5.38</v>
      </c>
      <c r="K278" s="41">
        <v>4.59</v>
      </c>
      <c r="L278" s="41">
        <v>68.599999999999994</v>
      </c>
      <c r="M278" s="41">
        <v>1.6</v>
      </c>
      <c r="N278" s="41">
        <v>3.86</v>
      </c>
      <c r="O278" s="41">
        <v>13.981999999999999</v>
      </c>
    </row>
    <row r="279" spans="1:15">
      <c r="A279" t="s">
        <v>194</v>
      </c>
      <c r="B279" t="s">
        <v>339</v>
      </c>
      <c r="C279" t="s">
        <v>28</v>
      </c>
      <c r="D279" t="s">
        <v>136</v>
      </c>
      <c r="E279" t="s">
        <v>332</v>
      </c>
      <c r="F279" s="41">
        <v>0.58765471985865558</v>
      </c>
      <c r="G279" s="41">
        <v>4.7875139722863</v>
      </c>
      <c r="H279" s="41">
        <v>3.0393735152284096</v>
      </c>
      <c r="I279" s="41">
        <v>1.6323276324443274</v>
      </c>
      <c r="J279" s="41">
        <v>5.4</v>
      </c>
      <c r="K279" s="41">
        <v>4.8099999999999996</v>
      </c>
      <c r="L279" s="41">
        <v>82.6</v>
      </c>
      <c r="M279" s="41">
        <v>1.87</v>
      </c>
      <c r="N279" s="41">
        <v>4.51</v>
      </c>
      <c r="O279" s="41">
        <v>11.554</v>
      </c>
    </row>
    <row r="280" spans="1:15">
      <c r="A280" t="s">
        <v>195</v>
      </c>
      <c r="B280" t="s">
        <v>339</v>
      </c>
      <c r="C280" t="s">
        <v>28</v>
      </c>
      <c r="D280" t="s">
        <v>136</v>
      </c>
      <c r="E280" t="s">
        <v>332</v>
      </c>
      <c r="F280" s="41">
        <v>0.71871834921893607</v>
      </c>
      <c r="G280" s="41">
        <v>5.3257637607594113</v>
      </c>
      <c r="H280" s="41">
        <v>3.7837961224350636</v>
      </c>
      <c r="I280" s="41">
        <v>2.1890135605232279</v>
      </c>
      <c r="J280" s="41">
        <v>7.23</v>
      </c>
      <c r="K280" s="41">
        <v>5.88</v>
      </c>
      <c r="L280" s="41">
        <v>105.9</v>
      </c>
      <c r="M280" s="41">
        <v>2.19</v>
      </c>
      <c r="N280" s="41">
        <v>4.03</v>
      </c>
      <c r="O280" s="41">
        <v>11.1</v>
      </c>
    </row>
    <row r="281" spans="1:15">
      <c r="A281" t="s">
        <v>196</v>
      </c>
      <c r="B281" t="s">
        <v>339</v>
      </c>
      <c r="C281" t="s">
        <v>32</v>
      </c>
      <c r="D281" t="s">
        <v>321</v>
      </c>
      <c r="E281" t="s">
        <v>332</v>
      </c>
      <c r="F281" s="41">
        <v>0.37113704745160842</v>
      </c>
      <c r="G281" s="41">
        <v>3.7182876586611546</v>
      </c>
      <c r="H281" s="41">
        <v>2.651669698139151</v>
      </c>
      <c r="I281" s="41">
        <v>2.1073587988975095</v>
      </c>
      <c r="J281" s="41">
        <v>3.68</v>
      </c>
      <c r="K281" s="41">
        <v>3.45</v>
      </c>
      <c r="L281" s="41">
        <v>82.2</v>
      </c>
      <c r="M281" s="41">
        <v>2.35</v>
      </c>
      <c r="N281" s="41">
        <v>4.05</v>
      </c>
      <c r="O281" s="41">
        <v>9.8569999999999993</v>
      </c>
    </row>
    <row r="282" spans="1:15">
      <c r="A282" t="s">
        <v>197</v>
      </c>
      <c r="B282" t="s">
        <v>339</v>
      </c>
      <c r="C282" t="s">
        <v>32</v>
      </c>
      <c r="D282" t="s">
        <v>321</v>
      </c>
      <c r="E282" t="s">
        <v>332</v>
      </c>
      <c r="F282" s="41">
        <v>0.66435348465956812</v>
      </c>
      <c r="G282" s="41">
        <v>5.3859620300441726</v>
      </c>
      <c r="H282" s="41">
        <v>3.8173297198815623</v>
      </c>
      <c r="I282" s="41">
        <v>1.8823014393319977</v>
      </c>
      <c r="J282" s="41">
        <v>6.88</v>
      </c>
      <c r="K282" s="41">
        <v>5.78</v>
      </c>
      <c r="L282" s="41">
        <v>109.8</v>
      </c>
      <c r="M282" s="41">
        <v>1.98</v>
      </c>
      <c r="N282" s="41">
        <v>3.75</v>
      </c>
      <c r="O282" s="41">
        <v>11.234999999999999</v>
      </c>
    </row>
    <row r="283" spans="1:15">
      <c r="A283" t="s">
        <v>198</v>
      </c>
      <c r="B283" t="s">
        <v>339</v>
      </c>
      <c r="C283" t="s">
        <v>32</v>
      </c>
      <c r="D283" t="s">
        <v>321</v>
      </c>
      <c r="E283" t="s">
        <v>332</v>
      </c>
      <c r="F283" s="41">
        <v>0.54133644611154874</v>
      </c>
      <c r="G283" s="41">
        <v>4.7182187837155949</v>
      </c>
      <c r="H283" s="41">
        <v>3.3749313828113272</v>
      </c>
      <c r="I283" s="41">
        <v>2.55988810465663</v>
      </c>
      <c r="J283" s="41">
        <v>4.17</v>
      </c>
      <c r="K283" s="41">
        <v>4.2</v>
      </c>
      <c r="L283" s="41">
        <v>93.4</v>
      </c>
      <c r="M283" s="41">
        <v>1.84</v>
      </c>
      <c r="N283" s="41">
        <v>4.38</v>
      </c>
      <c r="O283" s="41">
        <v>8.1630000000000003</v>
      </c>
    </row>
    <row r="284" spans="1:15">
      <c r="A284" t="s">
        <v>199</v>
      </c>
      <c r="B284" t="s">
        <v>339</v>
      </c>
      <c r="C284" t="s">
        <v>36</v>
      </c>
      <c r="D284" t="s">
        <v>322</v>
      </c>
      <c r="E284" t="s">
        <v>332</v>
      </c>
      <c r="F284" s="41">
        <v>0.39867510420851093</v>
      </c>
      <c r="G284" s="41">
        <v>3.1187956045895739</v>
      </c>
      <c r="H284" s="41">
        <v>2.8377494801902872</v>
      </c>
      <c r="I284" s="41">
        <v>2.0383016213339364</v>
      </c>
      <c r="J284" s="41">
        <v>2.42</v>
      </c>
      <c r="K284" s="41">
        <v>3.22</v>
      </c>
      <c r="L284" s="41">
        <v>91.3</v>
      </c>
      <c r="M284" s="41">
        <v>1.94</v>
      </c>
      <c r="N284" s="41">
        <v>4.07</v>
      </c>
      <c r="O284" s="41">
        <v>6.851</v>
      </c>
    </row>
    <row r="285" spans="1:15">
      <c r="A285" t="s">
        <v>200</v>
      </c>
      <c r="B285" t="s">
        <v>339</v>
      </c>
      <c r="C285" t="s">
        <v>36</v>
      </c>
      <c r="D285" t="s">
        <v>322</v>
      </c>
      <c r="E285" t="s">
        <v>332</v>
      </c>
      <c r="F285" s="41">
        <v>0.40972977433227425</v>
      </c>
      <c r="G285" s="41">
        <v>3.3396918742337549</v>
      </c>
      <c r="H285" s="41">
        <v>2.5588949053818739</v>
      </c>
      <c r="I285" s="41">
        <v>1.8919210332194902</v>
      </c>
      <c r="J285" s="41">
        <v>2.21</v>
      </c>
      <c r="K285" s="41">
        <v>2.71</v>
      </c>
      <c r="L285" s="41">
        <v>74.8</v>
      </c>
      <c r="M285" s="41">
        <v>1.65</v>
      </c>
      <c r="N285" s="41">
        <v>4.37</v>
      </c>
      <c r="O285" s="41">
        <v>7.0890000000000004</v>
      </c>
    </row>
    <row r="286" spans="1:15">
      <c r="A286" t="s">
        <v>201</v>
      </c>
      <c r="B286" t="s">
        <v>339</v>
      </c>
      <c r="C286" t="s">
        <v>36</v>
      </c>
      <c r="D286" t="s">
        <v>322</v>
      </c>
      <c r="E286" t="s">
        <v>332</v>
      </c>
      <c r="F286" s="41">
        <v>0.3856975857709517</v>
      </c>
      <c r="G286" s="41">
        <v>3.4568239885241465</v>
      </c>
      <c r="H286" s="41">
        <v>2.4539511953352853</v>
      </c>
      <c r="I286" s="41">
        <v>1.8516883561502178</v>
      </c>
      <c r="J286" s="41">
        <v>3.22</v>
      </c>
      <c r="K286" s="41">
        <v>3.16</v>
      </c>
      <c r="L286" s="41">
        <v>76.900000000000006</v>
      </c>
      <c r="M286" s="41">
        <v>1.54</v>
      </c>
      <c r="N286" s="41">
        <v>4.42</v>
      </c>
      <c r="O286" s="41">
        <v>8.2490000000000006</v>
      </c>
    </row>
    <row r="287" spans="1:15">
      <c r="A287" t="s">
        <v>202</v>
      </c>
      <c r="B287" t="s">
        <v>339</v>
      </c>
      <c r="C287" t="s">
        <v>40</v>
      </c>
      <c r="D287" t="s">
        <v>148</v>
      </c>
      <c r="E287" t="s">
        <v>332</v>
      </c>
      <c r="F287" s="41">
        <v>0.4077189804694904</v>
      </c>
      <c r="G287" s="41">
        <v>3.0179898838025085</v>
      </c>
      <c r="H287" s="41">
        <v>3.1531598793830988</v>
      </c>
      <c r="I287" s="41">
        <v>1.8419256756477269</v>
      </c>
      <c r="J287" s="41">
        <v>0.4</v>
      </c>
      <c r="K287" s="41">
        <v>1.02</v>
      </c>
      <c r="L287" s="41">
        <v>110.1</v>
      </c>
      <c r="M287" s="41">
        <v>2.57</v>
      </c>
      <c r="N287" s="41">
        <v>5.32</v>
      </c>
      <c r="O287" s="41">
        <v>3.1480000000000001</v>
      </c>
    </row>
    <row r="288" spans="1:15">
      <c r="A288" t="s">
        <v>203</v>
      </c>
      <c r="B288" t="s">
        <v>339</v>
      </c>
      <c r="C288" t="s">
        <v>40</v>
      </c>
      <c r="D288" t="s">
        <v>148</v>
      </c>
      <c r="E288" t="s">
        <v>332</v>
      </c>
      <c r="F288" s="41">
        <v>0.53702796805141828</v>
      </c>
      <c r="G288" s="41">
        <v>3.5940195225088272</v>
      </c>
      <c r="H288" s="41">
        <v>3.6449827748835784</v>
      </c>
      <c r="I288" s="41">
        <v>2.471351771140835</v>
      </c>
      <c r="J288" s="41">
        <v>0.57999999999999996</v>
      </c>
      <c r="K288" s="41">
        <v>1.58</v>
      </c>
      <c r="L288" s="41">
        <v>123.6</v>
      </c>
      <c r="M288" s="41">
        <v>3.4</v>
      </c>
      <c r="N288" s="41">
        <v>4.78</v>
      </c>
      <c r="O288" s="41">
        <v>4.9950000000000001</v>
      </c>
    </row>
    <row r="289" spans="1:15">
      <c r="A289" t="s">
        <v>204</v>
      </c>
      <c r="B289" t="s">
        <v>339</v>
      </c>
      <c r="C289" t="s">
        <v>40</v>
      </c>
      <c r="D289" t="s">
        <v>148</v>
      </c>
      <c r="E289" t="s">
        <v>332</v>
      </c>
      <c r="F289" s="41">
        <v>0.48757097742974942</v>
      </c>
      <c r="G289" s="41">
        <v>3.8491620753233975</v>
      </c>
      <c r="H289" s="41">
        <v>3.5295471474581541</v>
      </c>
      <c r="I289" s="41">
        <v>2.6846581424496083</v>
      </c>
      <c r="J289" s="41">
        <v>0.36</v>
      </c>
      <c r="K289" s="41">
        <v>1.42</v>
      </c>
      <c r="L289" s="41">
        <v>127.4</v>
      </c>
      <c r="M289" s="41">
        <v>3.49</v>
      </c>
      <c r="N289" s="41">
        <v>4.63</v>
      </c>
      <c r="O289" s="41">
        <v>4.1619999999999999</v>
      </c>
    </row>
    <row r="290" spans="1:15">
      <c r="A290" t="s">
        <v>205</v>
      </c>
      <c r="B290" t="s">
        <v>339</v>
      </c>
      <c r="C290" t="s">
        <v>44</v>
      </c>
      <c r="D290" t="s">
        <v>323</v>
      </c>
      <c r="E290" t="s">
        <v>332</v>
      </c>
      <c r="F290" s="41">
        <v>0.21803067738575321</v>
      </c>
      <c r="G290" s="41">
        <v>2.103882197909865</v>
      </c>
      <c r="H290" s="41">
        <v>1.6781157768284594</v>
      </c>
      <c r="I290" s="41">
        <v>2.3658447688920079</v>
      </c>
      <c r="J290" s="41">
        <v>0.28000000000000003</v>
      </c>
      <c r="K290" s="41">
        <v>0.86</v>
      </c>
      <c r="L290" s="41">
        <v>65.400000000000006</v>
      </c>
      <c r="M290" s="41">
        <v>1.58</v>
      </c>
      <c r="N290" s="41">
        <v>5.13</v>
      </c>
      <c r="O290" s="41">
        <v>3.7879999999999998</v>
      </c>
    </row>
    <row r="291" spans="1:15">
      <c r="A291" t="s">
        <v>206</v>
      </c>
      <c r="B291" t="s">
        <v>339</v>
      </c>
      <c r="C291" t="s">
        <v>44</v>
      </c>
      <c r="D291" t="s">
        <v>323</v>
      </c>
      <c r="E291" t="s">
        <v>332</v>
      </c>
      <c r="F291" s="41">
        <v>0.32215649970698146</v>
      </c>
      <c r="G291" s="41">
        <v>2.4450286864356103</v>
      </c>
      <c r="H291" s="41">
        <v>2.3282594119688209</v>
      </c>
      <c r="I291" s="41">
        <v>1.6171336225141915</v>
      </c>
      <c r="J291" s="41">
        <v>0.65</v>
      </c>
      <c r="K291" s="41">
        <v>1.27</v>
      </c>
      <c r="L291" s="41">
        <v>91.9</v>
      </c>
      <c r="M291" s="41">
        <v>2.13</v>
      </c>
      <c r="N291" s="41">
        <v>5.0199999999999996</v>
      </c>
      <c r="O291" s="41">
        <v>4.5839999999999996</v>
      </c>
    </row>
    <row r="292" spans="1:15">
      <c r="A292" t="s">
        <v>207</v>
      </c>
      <c r="B292" t="s">
        <v>339</v>
      </c>
      <c r="C292" t="s">
        <v>44</v>
      </c>
      <c r="D292" t="s">
        <v>323</v>
      </c>
      <c r="E292" t="s">
        <v>332</v>
      </c>
      <c r="F292" s="41">
        <v>0.47383183346114854</v>
      </c>
      <c r="G292" s="41">
        <v>3.8147587921958568</v>
      </c>
      <c r="H292" s="41">
        <v>3.3071270333775282</v>
      </c>
      <c r="I292" s="41">
        <v>1.6997825380170337</v>
      </c>
      <c r="J292" s="41">
        <v>1.85</v>
      </c>
      <c r="K292" s="41">
        <v>2.77</v>
      </c>
      <c r="L292" s="41">
        <v>123.6</v>
      </c>
      <c r="M292" s="41">
        <v>2.7</v>
      </c>
      <c r="N292" s="41">
        <v>4.7300000000000004</v>
      </c>
      <c r="O292" s="41">
        <v>5.157</v>
      </c>
    </row>
    <row r="293" spans="1:15">
      <c r="A293" t="s">
        <v>208</v>
      </c>
      <c r="B293" t="s">
        <v>339</v>
      </c>
      <c r="C293" t="s">
        <v>48</v>
      </c>
      <c r="D293" t="s">
        <v>156</v>
      </c>
      <c r="E293" t="s">
        <v>332</v>
      </c>
      <c r="F293" s="41">
        <v>0.47160331032659825</v>
      </c>
      <c r="G293" s="41">
        <v>4.4777268901678209</v>
      </c>
      <c r="H293" s="41">
        <v>3.4992672712120054</v>
      </c>
      <c r="I293" s="41">
        <v>2.6040720589796584</v>
      </c>
      <c r="J293" s="41">
        <v>4.37</v>
      </c>
      <c r="K293" s="41">
        <v>4.03</v>
      </c>
      <c r="L293" s="41">
        <v>118.7</v>
      </c>
      <c r="M293" s="41">
        <v>1.37</v>
      </c>
      <c r="N293" s="41">
        <v>4.25</v>
      </c>
      <c r="O293" s="41">
        <v>9.5289999999999999</v>
      </c>
    </row>
    <row r="294" spans="1:15">
      <c r="A294" t="s">
        <v>209</v>
      </c>
      <c r="B294" t="s">
        <v>339</v>
      </c>
      <c r="C294" t="s">
        <v>48</v>
      </c>
      <c r="D294" t="s">
        <v>156</v>
      </c>
      <c r="E294" t="s">
        <v>332</v>
      </c>
      <c r="F294" s="41">
        <v>0.69646556380412805</v>
      </c>
      <c r="G294" s="41">
        <v>5.3502739105326</v>
      </c>
      <c r="H294" s="41">
        <v>3.9287093971418279</v>
      </c>
      <c r="I294" s="41">
        <v>1.7930452012844924</v>
      </c>
      <c r="J294" s="41">
        <v>6.11</v>
      </c>
      <c r="K294" s="41">
        <v>5.39</v>
      </c>
      <c r="L294" s="41">
        <v>111.7</v>
      </c>
      <c r="M294" s="41">
        <v>1.96</v>
      </c>
      <c r="N294" s="41">
        <v>4.16</v>
      </c>
      <c r="O294" s="41">
        <v>12.552</v>
      </c>
    </row>
    <row r="295" spans="1:15">
      <c r="A295" t="s">
        <v>210</v>
      </c>
      <c r="B295" t="s">
        <v>339</v>
      </c>
      <c r="C295" t="s">
        <v>48</v>
      </c>
      <c r="D295" t="s">
        <v>156</v>
      </c>
      <c r="E295" t="s">
        <v>332</v>
      </c>
      <c r="F295" s="41">
        <v>0.67391393429081692</v>
      </c>
      <c r="G295" s="41">
        <v>4.3496261394152453</v>
      </c>
      <c r="H295" s="41">
        <v>4.7315336329101862</v>
      </c>
      <c r="I295" s="41">
        <v>2.7631992797135396</v>
      </c>
      <c r="J295" s="41">
        <v>6.25</v>
      </c>
      <c r="K295" s="41">
        <v>5.43</v>
      </c>
      <c r="L295" s="41">
        <v>108.4</v>
      </c>
      <c r="M295" s="41">
        <v>1.91</v>
      </c>
      <c r="N295" s="41">
        <v>3.96</v>
      </c>
      <c r="O295" s="41">
        <v>11.897</v>
      </c>
    </row>
    <row r="296" spans="1:15">
      <c r="A296" t="s">
        <v>211</v>
      </c>
      <c r="B296" t="s">
        <v>339</v>
      </c>
      <c r="C296" t="s">
        <v>52</v>
      </c>
      <c r="D296" t="s">
        <v>160</v>
      </c>
      <c r="E296" t="s">
        <v>332</v>
      </c>
      <c r="F296" s="41">
        <v>0.64218608327290361</v>
      </c>
      <c r="G296" s="41">
        <v>5.3783587464050022</v>
      </c>
      <c r="H296" s="41">
        <v>4.1660944951563952</v>
      </c>
      <c r="I296" s="41">
        <v>3.3355129490242899</v>
      </c>
      <c r="J296" s="41">
        <v>3.42</v>
      </c>
      <c r="K296" s="41">
        <v>4.76</v>
      </c>
      <c r="L296" s="41">
        <v>154</v>
      </c>
      <c r="M296" s="41">
        <v>2.42</v>
      </c>
      <c r="N296" s="41">
        <v>4.51</v>
      </c>
      <c r="O296" s="41">
        <v>6.806</v>
      </c>
    </row>
    <row r="297" spans="1:15">
      <c r="A297" t="s">
        <v>212</v>
      </c>
      <c r="B297" t="s">
        <v>339</v>
      </c>
      <c r="C297" t="s">
        <v>52</v>
      </c>
      <c r="D297" t="s">
        <v>160</v>
      </c>
      <c r="E297" t="s">
        <v>332</v>
      </c>
      <c r="F297" s="41">
        <v>1.0793967070632242</v>
      </c>
      <c r="G297" s="41">
        <v>8.3163817166582135</v>
      </c>
      <c r="H297" s="41">
        <v>5.5883749745735454</v>
      </c>
      <c r="I297" s="41">
        <v>3.2390949277990035</v>
      </c>
      <c r="J297" s="41">
        <v>7.01</v>
      </c>
      <c r="K297" s="41">
        <v>5.69</v>
      </c>
      <c r="L297" s="41">
        <v>123.3</v>
      </c>
      <c r="M297" s="41">
        <v>2.0299999999999998</v>
      </c>
      <c r="N297" s="41">
        <v>3.9</v>
      </c>
      <c r="O297" s="41">
        <v>7.3070000000000004</v>
      </c>
    </row>
    <row r="298" spans="1:15">
      <c r="A298" t="s">
        <v>213</v>
      </c>
      <c r="B298" t="s">
        <v>339</v>
      </c>
      <c r="C298" t="s">
        <v>52</v>
      </c>
      <c r="D298" t="s">
        <v>160</v>
      </c>
      <c r="E298" t="s">
        <v>332</v>
      </c>
      <c r="F298" s="41">
        <v>0.41858836725218196</v>
      </c>
      <c r="G298" s="41">
        <v>2.6198759074231708</v>
      </c>
      <c r="H298" s="41">
        <v>3.3388854858806232</v>
      </c>
      <c r="I298" s="41">
        <v>2.2179990334594017</v>
      </c>
      <c r="J298" s="41">
        <v>9.36</v>
      </c>
      <c r="K298" s="41">
        <v>7.8</v>
      </c>
      <c r="L298" s="41">
        <v>171</v>
      </c>
      <c r="M298" s="41">
        <v>1.95</v>
      </c>
      <c r="N298" s="41">
        <v>4.28</v>
      </c>
      <c r="O298" s="41">
        <v>8.907</v>
      </c>
    </row>
    <row r="299" spans="1:15">
      <c r="A299" t="s">
        <v>214</v>
      </c>
      <c r="B299" t="s">
        <v>339</v>
      </c>
      <c r="C299" t="s">
        <v>56</v>
      </c>
      <c r="D299" t="s">
        <v>320</v>
      </c>
      <c r="E299" t="s">
        <v>333</v>
      </c>
      <c r="F299" s="41">
        <v>0.4627028792329001</v>
      </c>
      <c r="G299" s="41">
        <v>2.965804486480506</v>
      </c>
      <c r="H299" s="41">
        <v>3.3772303235282961</v>
      </c>
      <c r="I299" s="41">
        <v>2.6657871046111294</v>
      </c>
      <c r="J299" s="41">
        <v>0.85</v>
      </c>
      <c r="K299" s="41">
        <v>1.29</v>
      </c>
      <c r="L299" s="41">
        <v>125.1</v>
      </c>
      <c r="M299" s="41">
        <v>1.1599999999999999</v>
      </c>
      <c r="N299" s="41"/>
      <c r="O299" s="41"/>
    </row>
    <row r="300" spans="1:15">
      <c r="A300" t="s">
        <v>215</v>
      </c>
      <c r="B300" t="s">
        <v>339</v>
      </c>
      <c r="C300" t="s">
        <v>56</v>
      </c>
      <c r="D300" t="s">
        <v>320</v>
      </c>
      <c r="E300" t="s">
        <v>333</v>
      </c>
      <c r="F300" s="41">
        <v>0.59719211580230558</v>
      </c>
      <c r="G300" s="41">
        <v>2.821761297902126</v>
      </c>
      <c r="H300" s="41">
        <v>4.0929775124184173</v>
      </c>
      <c r="I300" s="41">
        <v>2.2273041348910123</v>
      </c>
      <c r="J300" s="41">
        <v>0.76</v>
      </c>
      <c r="K300" s="41">
        <v>1.1200000000000001</v>
      </c>
      <c r="L300" s="41">
        <v>141.19999999999999</v>
      </c>
      <c r="M300" s="41">
        <v>1</v>
      </c>
      <c r="N300" s="41">
        <v>4.2</v>
      </c>
      <c r="O300" s="41">
        <v>3.26</v>
      </c>
    </row>
    <row r="301" spans="1:15">
      <c r="A301" t="s">
        <v>216</v>
      </c>
      <c r="B301" t="s">
        <v>339</v>
      </c>
      <c r="C301" t="s">
        <v>56</v>
      </c>
      <c r="D301" t="s">
        <v>320</v>
      </c>
      <c r="E301" t="s">
        <v>333</v>
      </c>
      <c r="F301" s="41" t="e">
        <v>#VALUE!</v>
      </c>
      <c r="G301" s="41" t="e">
        <v>#VALUE!</v>
      </c>
      <c r="H301" s="41" t="e">
        <v>#VALUE!</v>
      </c>
      <c r="I301" s="41" t="e">
        <v>#VALUE!</v>
      </c>
      <c r="J301" s="41">
        <v>0.9</v>
      </c>
      <c r="K301" s="41">
        <v>1.45</v>
      </c>
      <c r="L301" s="41">
        <v>154.30000000000001</v>
      </c>
      <c r="M301" s="41">
        <v>1.27</v>
      </c>
      <c r="N301" s="41">
        <v>4.95</v>
      </c>
      <c r="O301" s="41">
        <v>3.702</v>
      </c>
    </row>
    <row r="302" spans="1:15">
      <c r="A302" t="s">
        <v>218</v>
      </c>
      <c r="B302" t="s">
        <v>339</v>
      </c>
      <c r="C302" t="s">
        <v>60</v>
      </c>
      <c r="D302" t="s">
        <v>132</v>
      </c>
      <c r="E302" t="s">
        <v>333</v>
      </c>
      <c r="F302" s="41">
        <v>0.65979653907753943</v>
      </c>
      <c r="G302" s="41">
        <v>2.5631028004689083</v>
      </c>
      <c r="H302" s="41">
        <v>3.954344453025247</v>
      </c>
      <c r="I302" s="41">
        <v>1.4279820603998252</v>
      </c>
      <c r="J302" s="41">
        <v>0.43</v>
      </c>
      <c r="K302" s="41">
        <v>3.55</v>
      </c>
      <c r="L302" s="41">
        <v>139.30000000000001</v>
      </c>
      <c r="M302" s="41">
        <v>0.97</v>
      </c>
      <c r="N302" s="41">
        <v>4.3600000000000003</v>
      </c>
      <c r="O302" s="41">
        <v>4.9139999999999997</v>
      </c>
    </row>
    <row r="303" spans="1:15">
      <c r="A303" t="s">
        <v>219</v>
      </c>
      <c r="B303" t="s">
        <v>339</v>
      </c>
      <c r="C303" t="s">
        <v>60</v>
      </c>
      <c r="D303" t="s">
        <v>132</v>
      </c>
      <c r="E303" t="s">
        <v>333</v>
      </c>
      <c r="F303" s="41">
        <v>0.48399680201165463</v>
      </c>
      <c r="G303" s="41">
        <v>2.5991460389311798</v>
      </c>
      <c r="H303" s="41">
        <v>3.1654482775820627</v>
      </c>
      <c r="I303" s="41">
        <v>1.5292903647897946</v>
      </c>
      <c r="J303" s="41">
        <v>0.9</v>
      </c>
      <c r="K303" s="41">
        <v>3.68</v>
      </c>
      <c r="L303" s="41">
        <v>115.4</v>
      </c>
      <c r="M303" s="41">
        <v>0.65</v>
      </c>
      <c r="N303" s="41">
        <v>4.18</v>
      </c>
      <c r="O303" s="41">
        <v>3.9609999999999999</v>
      </c>
    </row>
    <row r="304" spans="1:15">
      <c r="A304" t="s">
        <v>220</v>
      </c>
      <c r="B304" t="s">
        <v>339</v>
      </c>
      <c r="C304" t="s">
        <v>60</v>
      </c>
      <c r="D304" t="s">
        <v>132</v>
      </c>
      <c r="E304" t="s">
        <v>333</v>
      </c>
      <c r="F304" s="41">
        <v>0.53241039980940752</v>
      </c>
      <c r="G304" s="41">
        <v>2.6501672869110422</v>
      </c>
      <c r="H304" s="41">
        <v>3.1749022045582942</v>
      </c>
      <c r="I304" s="41">
        <v>1.1441936073197871</v>
      </c>
      <c r="J304" s="41">
        <v>0.32</v>
      </c>
      <c r="K304" s="41">
        <v>2.99</v>
      </c>
      <c r="L304" s="41">
        <v>115.9</v>
      </c>
      <c r="M304" s="41">
        <v>0.82</v>
      </c>
      <c r="N304" s="41">
        <v>5.18</v>
      </c>
      <c r="O304" s="41">
        <v>3.722</v>
      </c>
    </row>
    <row r="305" spans="1:15">
      <c r="A305" t="s">
        <v>221</v>
      </c>
      <c r="B305" t="s">
        <v>339</v>
      </c>
      <c r="C305" t="s">
        <v>64</v>
      </c>
      <c r="D305" t="s">
        <v>136</v>
      </c>
      <c r="E305" t="s">
        <v>333</v>
      </c>
      <c r="F305" s="41">
        <v>0.88354709250863839</v>
      </c>
      <c r="G305" s="41">
        <v>5.130291871931421</v>
      </c>
      <c r="H305" s="41">
        <v>4.2691915850725559</v>
      </c>
      <c r="I305" s="41">
        <v>2.2845447428326398</v>
      </c>
      <c r="J305" s="41">
        <v>6.65</v>
      </c>
      <c r="K305" s="41">
        <v>7.49</v>
      </c>
      <c r="L305" s="41">
        <v>117.3</v>
      </c>
      <c r="M305" s="41">
        <v>1.4</v>
      </c>
      <c r="N305" s="41">
        <v>4.2699999999999996</v>
      </c>
      <c r="O305" s="41">
        <v>11.186</v>
      </c>
    </row>
    <row r="306" spans="1:15">
      <c r="A306" t="s">
        <v>222</v>
      </c>
      <c r="B306" t="s">
        <v>339</v>
      </c>
      <c r="C306" t="s">
        <v>64</v>
      </c>
      <c r="D306" t="s">
        <v>136</v>
      </c>
      <c r="E306" t="s">
        <v>333</v>
      </c>
      <c r="F306" s="41">
        <v>0.59051081560006191</v>
      </c>
      <c r="G306" s="41">
        <v>3.4538981287784649</v>
      </c>
      <c r="H306" s="41">
        <v>3.1984260754399116</v>
      </c>
      <c r="I306" s="41">
        <v>1.604150002688665</v>
      </c>
      <c r="J306" s="41">
        <v>1.22</v>
      </c>
      <c r="K306" s="41">
        <v>3.86</v>
      </c>
      <c r="L306" s="41">
        <v>90.2</v>
      </c>
      <c r="M306" s="41">
        <v>0.49</v>
      </c>
      <c r="N306" s="41">
        <v>4.29</v>
      </c>
      <c r="O306" s="41">
        <v>4.4829999999999997</v>
      </c>
    </row>
    <row r="307" spans="1:15">
      <c r="A307" t="s">
        <v>223</v>
      </c>
      <c r="B307" t="s">
        <v>339</v>
      </c>
      <c r="C307" t="s">
        <v>64</v>
      </c>
      <c r="D307" t="s">
        <v>136</v>
      </c>
      <c r="E307" t="s">
        <v>333</v>
      </c>
      <c r="F307" s="41">
        <v>0.37614055150082859</v>
      </c>
      <c r="G307" s="41">
        <v>2.7101727773368522</v>
      </c>
      <c r="H307" s="41">
        <v>2.2124056013596141</v>
      </c>
      <c r="I307" s="41">
        <v>1.2760345086706</v>
      </c>
      <c r="J307" s="41">
        <v>2.23</v>
      </c>
      <c r="K307" s="41">
        <v>4.57</v>
      </c>
      <c r="L307" s="41">
        <v>60.5</v>
      </c>
      <c r="M307" s="41">
        <v>0.66</v>
      </c>
      <c r="N307" s="41">
        <v>4.0199999999999996</v>
      </c>
      <c r="O307" s="41">
        <v>7.6369999999999996</v>
      </c>
    </row>
    <row r="308" spans="1:15">
      <c r="A308" t="s">
        <v>224</v>
      </c>
      <c r="B308" t="s">
        <v>339</v>
      </c>
      <c r="C308" t="s">
        <v>68</v>
      </c>
      <c r="D308" t="s">
        <v>321</v>
      </c>
      <c r="E308" t="s">
        <v>333</v>
      </c>
      <c r="F308" s="41">
        <v>0.45816557197734453</v>
      </c>
      <c r="G308" s="41">
        <v>2.5836991655959749</v>
      </c>
      <c r="H308" s="41">
        <v>2.7538536125315405</v>
      </c>
      <c r="I308" s="41">
        <v>1.5370841138504852</v>
      </c>
      <c r="J308" s="41">
        <v>1.05</v>
      </c>
      <c r="K308" s="41">
        <v>4.1900000000000004</v>
      </c>
      <c r="L308" s="41">
        <v>93</v>
      </c>
      <c r="M308" s="41">
        <v>0.91</v>
      </c>
      <c r="N308" s="41">
        <v>4.21</v>
      </c>
      <c r="O308" s="41">
        <v>5.6280000000000001</v>
      </c>
    </row>
    <row r="309" spans="1:15">
      <c r="A309" t="s">
        <v>225</v>
      </c>
      <c r="B309" t="s">
        <v>339</v>
      </c>
      <c r="C309" t="s">
        <v>68</v>
      </c>
      <c r="D309" t="s">
        <v>321</v>
      </c>
      <c r="E309" t="s">
        <v>333</v>
      </c>
      <c r="F309" s="41">
        <v>0.37761513366687011</v>
      </c>
      <c r="G309" s="41">
        <v>2.8109806341777568</v>
      </c>
      <c r="H309" s="41">
        <v>2.2643467264494088</v>
      </c>
      <c r="I309" s="41">
        <v>1.2417250212680295</v>
      </c>
      <c r="J309" s="41">
        <v>1.96</v>
      </c>
      <c r="K309" s="41">
        <v>4.29</v>
      </c>
      <c r="L309" s="41">
        <v>76.400000000000006</v>
      </c>
      <c r="M309" s="41">
        <v>0.95</v>
      </c>
      <c r="N309" s="41">
        <v>3.85</v>
      </c>
      <c r="O309" s="41">
        <v>7.7480000000000002</v>
      </c>
    </row>
    <row r="310" spans="1:15">
      <c r="A310" t="s">
        <v>226</v>
      </c>
      <c r="B310" t="s">
        <v>339</v>
      </c>
      <c r="C310" t="s">
        <v>68</v>
      </c>
      <c r="D310" t="s">
        <v>321</v>
      </c>
      <c r="E310" t="s">
        <v>333</v>
      </c>
      <c r="F310" s="41">
        <v>0.46975474611728735</v>
      </c>
      <c r="G310" s="41">
        <v>2.9579443423672207</v>
      </c>
      <c r="H310" s="41">
        <v>2.7256091789248242</v>
      </c>
      <c r="I310" s="41">
        <v>1.2898557813880958</v>
      </c>
      <c r="J310" s="41">
        <v>2.02</v>
      </c>
      <c r="K310" s="41">
        <v>4.54</v>
      </c>
      <c r="L310" s="41">
        <v>99.4</v>
      </c>
      <c r="M310" s="41">
        <v>1.46</v>
      </c>
      <c r="N310" s="41">
        <v>4.1500000000000004</v>
      </c>
      <c r="O310" s="41">
        <v>6.5110000000000001</v>
      </c>
    </row>
    <row r="311" spans="1:15">
      <c r="A311" t="s">
        <v>227</v>
      </c>
      <c r="B311" t="s">
        <v>339</v>
      </c>
      <c r="C311" t="s">
        <v>72</v>
      </c>
      <c r="D311" t="s">
        <v>322</v>
      </c>
      <c r="E311" t="s">
        <v>333</v>
      </c>
      <c r="F311" s="41">
        <v>0.48269725710330774</v>
      </c>
      <c r="G311" s="41">
        <v>2.6624148856092003</v>
      </c>
      <c r="H311" s="41">
        <v>3.2343290219965675</v>
      </c>
      <c r="I311" s="41">
        <v>1.2009274501666283</v>
      </c>
      <c r="J311" s="41">
        <v>0.85</v>
      </c>
      <c r="K311" s="41">
        <v>3.8</v>
      </c>
      <c r="L311" s="41">
        <v>123.9</v>
      </c>
      <c r="M311" s="41">
        <v>1.48</v>
      </c>
      <c r="N311" s="41">
        <v>4.26</v>
      </c>
      <c r="O311" s="41">
        <v>4.3819999999999997</v>
      </c>
    </row>
    <row r="312" spans="1:15">
      <c r="A312" t="s">
        <v>228</v>
      </c>
      <c r="B312" t="s">
        <v>339</v>
      </c>
      <c r="C312" t="s">
        <v>72</v>
      </c>
      <c r="D312" t="s">
        <v>322</v>
      </c>
      <c r="E312" t="s">
        <v>333</v>
      </c>
      <c r="F312" s="41">
        <v>0.45575518086284816</v>
      </c>
      <c r="G312" s="41">
        <v>2.7928626255171456</v>
      </c>
      <c r="H312" s="41">
        <v>2.9743353622118267</v>
      </c>
      <c r="I312" s="41">
        <v>1.2141063236022043</v>
      </c>
      <c r="J312" s="41">
        <v>1.7</v>
      </c>
      <c r="K312" s="41">
        <v>4.3899999999999997</v>
      </c>
      <c r="L312" s="41">
        <v>97</v>
      </c>
      <c r="M312" s="41">
        <v>1.66</v>
      </c>
      <c r="N312" s="41">
        <v>4.09</v>
      </c>
      <c r="O312" s="41">
        <v>5.9349999999999996</v>
      </c>
    </row>
    <row r="313" spans="1:15">
      <c r="A313" t="s">
        <v>229</v>
      </c>
      <c r="B313" t="s">
        <v>339</v>
      </c>
      <c r="C313" t="s">
        <v>72</v>
      </c>
      <c r="D313" t="s">
        <v>322</v>
      </c>
      <c r="E313" t="s">
        <v>333</v>
      </c>
      <c r="F313" s="41">
        <v>0.55112572493822265</v>
      </c>
      <c r="G313" s="41">
        <v>2.780632115249698</v>
      </c>
      <c r="H313" s="41">
        <v>3.194078890557476</v>
      </c>
      <c r="I313" s="41">
        <v>1.6126099988004416</v>
      </c>
      <c r="J313" s="41">
        <v>1.36</v>
      </c>
      <c r="K313" s="41">
        <v>4.13</v>
      </c>
      <c r="L313" s="41">
        <v>103.5</v>
      </c>
      <c r="M313" s="41">
        <v>1.98</v>
      </c>
      <c r="N313" s="41">
        <v>4.07</v>
      </c>
      <c r="O313" s="41">
        <v>4.4859999999999998</v>
      </c>
    </row>
    <row r="314" spans="1:15">
      <c r="A314" t="s">
        <v>230</v>
      </c>
      <c r="B314" t="s">
        <v>339</v>
      </c>
      <c r="C314" t="s">
        <v>76</v>
      </c>
      <c r="D314" t="s">
        <v>148</v>
      </c>
      <c r="E314" t="s">
        <v>333</v>
      </c>
      <c r="F314" s="41">
        <v>0.56071349745847743</v>
      </c>
      <c r="G314" s="41">
        <v>3.3057403664931178</v>
      </c>
      <c r="H314" s="41">
        <v>3.8517658249134703</v>
      </c>
      <c r="I314" s="41">
        <v>1.783142415138149</v>
      </c>
      <c r="J314" s="41">
        <v>0.19</v>
      </c>
      <c r="K314" s="41">
        <v>2.92</v>
      </c>
      <c r="L314" s="41">
        <v>136.9</v>
      </c>
      <c r="M314" s="41">
        <v>2.34</v>
      </c>
      <c r="N314" s="41">
        <v>4.29</v>
      </c>
      <c r="O314" s="41">
        <v>2.35</v>
      </c>
    </row>
    <row r="315" spans="1:15">
      <c r="A315" t="s">
        <v>231</v>
      </c>
      <c r="B315" t="s">
        <v>339</v>
      </c>
      <c r="C315" t="s">
        <v>76</v>
      </c>
      <c r="D315" t="s">
        <v>148</v>
      </c>
      <c r="E315" t="s">
        <v>333</v>
      </c>
      <c r="F315" s="41">
        <v>0.48823611900898878</v>
      </c>
      <c r="G315" s="41">
        <v>2.5331158086530645</v>
      </c>
      <c r="H315" s="41">
        <v>3.6358339509444946</v>
      </c>
      <c r="I315" s="41">
        <v>1.9261723916847173</v>
      </c>
      <c r="J315" s="41">
        <v>0.4</v>
      </c>
      <c r="K315" s="41">
        <v>3.04</v>
      </c>
      <c r="L315" s="41">
        <v>128.6</v>
      </c>
      <c r="M315" s="41">
        <v>1.58</v>
      </c>
      <c r="N315" s="41">
        <v>4.42</v>
      </c>
      <c r="O315" s="41">
        <v>2.6429999999999998</v>
      </c>
    </row>
    <row r="316" spans="1:15">
      <c r="A316" t="s">
        <v>232</v>
      </c>
      <c r="B316" t="s">
        <v>339</v>
      </c>
      <c r="C316" t="s">
        <v>76</v>
      </c>
      <c r="D316" t="s">
        <v>148</v>
      </c>
      <c r="E316" t="s">
        <v>333</v>
      </c>
      <c r="F316" s="41">
        <v>0.61403496919392953</v>
      </c>
      <c r="G316" s="41">
        <v>3.0826824103640815</v>
      </c>
      <c r="H316" s="41">
        <v>4.1960233962304399</v>
      </c>
      <c r="I316" s="41">
        <v>1.9432667707203002</v>
      </c>
      <c r="J316" s="41">
        <v>0.43</v>
      </c>
      <c r="K316" s="41">
        <v>3.27</v>
      </c>
      <c r="L316" s="41">
        <v>144.19999999999999</v>
      </c>
      <c r="M316" s="41">
        <v>1.7</v>
      </c>
      <c r="N316" s="41">
        <v>4.43</v>
      </c>
      <c r="O316" s="41">
        <v>2.8130000000000002</v>
      </c>
    </row>
    <row r="317" spans="1:15">
      <c r="A317" t="s">
        <v>233</v>
      </c>
      <c r="B317" t="s">
        <v>339</v>
      </c>
      <c r="C317" t="s">
        <v>80</v>
      </c>
      <c r="D317" t="s">
        <v>323</v>
      </c>
      <c r="E317" t="s">
        <v>333</v>
      </c>
      <c r="F317" s="41">
        <v>0.41896491081629567</v>
      </c>
      <c r="G317" s="41">
        <v>2.1107159681536118</v>
      </c>
      <c r="H317" s="41">
        <v>2.7275934154601202</v>
      </c>
      <c r="I317" s="41">
        <v>1.8255094675478134</v>
      </c>
      <c r="J317" s="41">
        <v>0.15</v>
      </c>
      <c r="K317" s="41">
        <v>3.13</v>
      </c>
      <c r="L317" s="41">
        <v>91.9</v>
      </c>
      <c r="M317" s="41">
        <v>2.16</v>
      </c>
      <c r="N317" s="41">
        <v>4.2</v>
      </c>
      <c r="O317" s="41">
        <v>2.823</v>
      </c>
    </row>
    <row r="318" spans="1:15">
      <c r="A318" t="s">
        <v>234</v>
      </c>
      <c r="B318" t="s">
        <v>339</v>
      </c>
      <c r="C318" t="s">
        <v>80</v>
      </c>
      <c r="D318" t="s">
        <v>323</v>
      </c>
      <c r="E318" t="s">
        <v>333</v>
      </c>
      <c r="F318" s="41">
        <v>0.47986506888978159</v>
      </c>
      <c r="G318" s="41">
        <v>2.1291073917055878</v>
      </c>
      <c r="H318" s="41">
        <v>3.2520783378429394</v>
      </c>
      <c r="I318" s="41">
        <v>1.8625867866592578</v>
      </c>
      <c r="J318" s="41">
        <v>0.37</v>
      </c>
      <c r="K318" s="41">
        <v>3.27</v>
      </c>
      <c r="L318" s="41">
        <v>114.7</v>
      </c>
      <c r="M318" s="41">
        <v>2.39</v>
      </c>
      <c r="N318" s="41">
        <v>4.6399999999999997</v>
      </c>
      <c r="O318" s="41">
        <v>2.6309999999999998</v>
      </c>
    </row>
    <row r="319" spans="1:15">
      <c r="A319" t="s">
        <v>235</v>
      </c>
      <c r="B319" t="s">
        <v>339</v>
      </c>
      <c r="C319" t="s">
        <v>80</v>
      </c>
      <c r="D319" t="s">
        <v>323</v>
      </c>
      <c r="E319" t="s">
        <v>333</v>
      </c>
      <c r="F319" s="41">
        <v>0.48452703682642695</v>
      </c>
      <c r="G319" s="41">
        <v>2.1772188003435593</v>
      </c>
      <c r="H319" s="41">
        <v>3.1346435387685134</v>
      </c>
      <c r="I319" s="41">
        <v>2.088365541242053</v>
      </c>
      <c r="J319" s="41">
        <v>0.5</v>
      </c>
      <c r="K319" s="41">
        <v>3.4</v>
      </c>
      <c r="L319" s="41">
        <v>104.2</v>
      </c>
      <c r="M319" s="41">
        <v>2.4500000000000002</v>
      </c>
      <c r="N319" s="41">
        <v>5.3</v>
      </c>
      <c r="O319" s="41">
        <v>3.3370000000000002</v>
      </c>
    </row>
    <row r="320" spans="1:15">
      <c r="A320" t="s">
        <v>236</v>
      </c>
      <c r="B320" t="s">
        <v>339</v>
      </c>
      <c r="C320" t="s">
        <v>84</v>
      </c>
      <c r="D320" t="s">
        <v>156</v>
      </c>
      <c r="E320" t="s">
        <v>333</v>
      </c>
      <c r="F320" s="41">
        <v>0.55014039325344455</v>
      </c>
      <c r="G320" s="41">
        <v>2.5592317368995623</v>
      </c>
      <c r="H320" s="41">
        <v>3.349782784917207</v>
      </c>
      <c r="I320" s="41">
        <v>2.3116805231728454</v>
      </c>
      <c r="J320" s="41">
        <v>0.89</v>
      </c>
      <c r="K320" s="41">
        <v>3.63</v>
      </c>
      <c r="L320" s="41">
        <v>115.9</v>
      </c>
      <c r="M320" s="41">
        <v>2.25</v>
      </c>
      <c r="N320" s="41">
        <v>4.78</v>
      </c>
      <c r="O320" s="41">
        <v>3.7440000000000002</v>
      </c>
    </row>
    <row r="321" spans="1:15">
      <c r="A321" t="s">
        <v>237</v>
      </c>
      <c r="B321" t="s">
        <v>339</v>
      </c>
      <c r="C321" t="s">
        <v>84</v>
      </c>
      <c r="D321" t="s">
        <v>156</v>
      </c>
      <c r="E321" t="s">
        <v>333</v>
      </c>
      <c r="F321" s="41">
        <v>0.63704084173696507</v>
      </c>
      <c r="G321" s="41">
        <v>2.7603374677273598</v>
      </c>
      <c r="H321" s="41">
        <v>4.0556471957089508</v>
      </c>
      <c r="I321" s="41">
        <v>2.6247778845583762</v>
      </c>
      <c r="J321" s="41">
        <v>1.1599999999999999</v>
      </c>
      <c r="K321" s="41">
        <v>3.52</v>
      </c>
      <c r="L321" s="41">
        <v>163.1</v>
      </c>
      <c r="M321" s="41">
        <v>1.76</v>
      </c>
      <c r="N321" s="41">
        <v>4.53</v>
      </c>
      <c r="O321" s="41">
        <v>3.2890000000000001</v>
      </c>
    </row>
    <row r="322" spans="1:15">
      <c r="A322" t="s">
        <v>238</v>
      </c>
      <c r="B322" t="s">
        <v>339</v>
      </c>
      <c r="C322" t="s">
        <v>84</v>
      </c>
      <c r="D322" t="s">
        <v>156</v>
      </c>
      <c r="E322" t="s">
        <v>333</v>
      </c>
      <c r="F322" s="41">
        <v>0.60862076796933817</v>
      </c>
      <c r="G322" s="41">
        <v>2.3579129347013454</v>
      </c>
      <c r="H322" s="41">
        <v>3.7161453913136744</v>
      </c>
      <c r="I322" s="41">
        <v>1.9826096279025518</v>
      </c>
      <c r="J322" s="41">
        <v>1.1200000000000001</v>
      </c>
      <c r="K322" s="41">
        <v>3.43</v>
      </c>
      <c r="L322" s="41">
        <v>132.6</v>
      </c>
      <c r="M322" s="41">
        <v>2.16</v>
      </c>
      <c r="N322" s="41">
        <v>4.16</v>
      </c>
      <c r="O322" s="41">
        <v>3.347</v>
      </c>
    </row>
    <row r="323" spans="1:15">
      <c r="A323" t="s">
        <v>239</v>
      </c>
      <c r="B323" t="s">
        <v>339</v>
      </c>
      <c r="C323" t="s">
        <v>88</v>
      </c>
      <c r="D323" t="s">
        <v>160</v>
      </c>
      <c r="E323" t="s">
        <v>333</v>
      </c>
      <c r="F323" s="41">
        <v>0.32190034762255043</v>
      </c>
      <c r="G323" s="41">
        <v>2.2475734716183036</v>
      </c>
      <c r="H323" s="41">
        <v>2.6592759381911182</v>
      </c>
      <c r="I323" s="41">
        <v>2.2275366506403849</v>
      </c>
      <c r="J323" s="41">
        <v>0.47</v>
      </c>
      <c r="K323" s="41">
        <v>3.08</v>
      </c>
      <c r="L323" s="41">
        <v>103.7</v>
      </c>
      <c r="M323" s="41">
        <v>1.62</v>
      </c>
      <c r="N323" s="41">
        <v>4.51</v>
      </c>
      <c r="O323" s="41">
        <v>2.9980000000000002</v>
      </c>
    </row>
    <row r="324" spans="1:15">
      <c r="A324" t="s">
        <v>240</v>
      </c>
      <c r="B324" t="s">
        <v>339</v>
      </c>
      <c r="C324" t="s">
        <v>88</v>
      </c>
      <c r="D324" t="s">
        <v>160</v>
      </c>
      <c r="E324" t="s">
        <v>333</v>
      </c>
      <c r="F324" s="41">
        <v>0.30329858325116643</v>
      </c>
      <c r="G324" s="41">
        <v>2.2938259794030689</v>
      </c>
      <c r="H324" s="41">
        <v>2.5187098483667887</v>
      </c>
      <c r="I324" s="41">
        <v>1.9807345970518444</v>
      </c>
      <c r="J324" s="41">
        <v>0.44</v>
      </c>
      <c r="K324" s="41">
        <v>3.24</v>
      </c>
      <c r="L324" s="41">
        <v>97</v>
      </c>
      <c r="M324" s="41">
        <v>1.58</v>
      </c>
      <c r="N324" s="41">
        <v>4.3600000000000003</v>
      </c>
      <c r="O324" s="41">
        <v>2.9620000000000002</v>
      </c>
    </row>
    <row r="325" spans="1:15">
      <c r="A325" t="s">
        <v>241</v>
      </c>
      <c r="B325" t="s">
        <v>339</v>
      </c>
      <c r="C325" t="s">
        <v>88</v>
      </c>
      <c r="D325" t="s">
        <v>160</v>
      </c>
      <c r="E325" t="s">
        <v>333</v>
      </c>
      <c r="F325" s="41">
        <v>0.35422503299718805</v>
      </c>
      <c r="G325" s="41">
        <v>2.0646941541834356</v>
      </c>
      <c r="H325" s="41">
        <v>2.8107382602581956</v>
      </c>
      <c r="I325" s="41">
        <v>1.9828019005414557</v>
      </c>
      <c r="J325" s="41">
        <v>0.35</v>
      </c>
      <c r="K325" s="41">
        <v>3.41</v>
      </c>
      <c r="L325" s="41">
        <v>99.1</v>
      </c>
      <c r="M325" s="41">
        <v>1.22</v>
      </c>
      <c r="N325" s="41">
        <v>4.8499999999999996</v>
      </c>
      <c r="O325" s="41">
        <v>3.1070000000000002</v>
      </c>
    </row>
    <row r="326" spans="1:15">
      <c r="A326" t="s">
        <v>242</v>
      </c>
      <c r="B326" t="s">
        <v>339</v>
      </c>
      <c r="C326" t="s">
        <v>92</v>
      </c>
      <c r="D326" t="s">
        <v>320</v>
      </c>
      <c r="E326" t="s">
        <v>334</v>
      </c>
      <c r="F326" s="41">
        <v>0.51177308020707801</v>
      </c>
      <c r="G326" s="41">
        <v>3.0421491867326749</v>
      </c>
      <c r="H326" s="41">
        <v>3.7652499115930644</v>
      </c>
      <c r="I326" s="41">
        <v>2.4231539391699886</v>
      </c>
      <c r="J326" s="41">
        <v>1.44</v>
      </c>
      <c r="K326" s="41">
        <v>5.53</v>
      </c>
      <c r="L326" s="41">
        <v>131.6</v>
      </c>
      <c r="M326" s="41">
        <v>0.72</v>
      </c>
      <c r="N326" s="41">
        <v>4.26</v>
      </c>
      <c r="O326" s="41">
        <v>5.4669999999999996</v>
      </c>
    </row>
    <row r="327" spans="1:15">
      <c r="A327" t="s">
        <v>243</v>
      </c>
      <c r="B327" t="s">
        <v>339</v>
      </c>
      <c r="C327" t="s">
        <v>92</v>
      </c>
      <c r="D327" t="s">
        <v>320</v>
      </c>
      <c r="E327" t="s">
        <v>334</v>
      </c>
      <c r="F327" s="41">
        <v>0.43762132096569162</v>
      </c>
      <c r="G327" s="41">
        <v>2.5571757850797274</v>
      </c>
      <c r="H327" s="41">
        <v>3.1424962081966381</v>
      </c>
      <c r="I327" s="41">
        <v>2.1881222501506339</v>
      </c>
      <c r="J327" s="41">
        <v>1.1599999999999999</v>
      </c>
      <c r="K327" s="41">
        <v>3.92</v>
      </c>
      <c r="L327" s="41">
        <v>114.5</v>
      </c>
      <c r="M327" s="41">
        <v>0.68</v>
      </c>
      <c r="N327" s="41">
        <v>4.97</v>
      </c>
      <c r="O327" s="41">
        <v>4.8490000000000002</v>
      </c>
    </row>
    <row r="328" spans="1:15">
      <c r="A328" t="s">
        <v>244</v>
      </c>
      <c r="B328" t="s">
        <v>339</v>
      </c>
      <c r="C328" t="s">
        <v>92</v>
      </c>
      <c r="D328" t="s">
        <v>320</v>
      </c>
      <c r="E328" t="s">
        <v>334</v>
      </c>
      <c r="F328" s="41">
        <v>0.53728753549697494</v>
      </c>
      <c r="G328" s="41">
        <v>3.2435945501208407</v>
      </c>
      <c r="H328" s="41">
        <v>3.984771546820788</v>
      </c>
      <c r="I328" s="41">
        <v>2.4440207371905793</v>
      </c>
      <c r="J328" s="41">
        <v>2.16</v>
      </c>
      <c r="K328" s="41">
        <v>4.6900000000000004</v>
      </c>
      <c r="L328" s="41">
        <v>138.5</v>
      </c>
      <c r="M328" s="41">
        <v>0.6</v>
      </c>
      <c r="N328" s="41">
        <v>4.5199999999999996</v>
      </c>
      <c r="O328" s="41">
        <v>6.165</v>
      </c>
    </row>
    <row r="329" spans="1:15">
      <c r="A329" t="s">
        <v>245</v>
      </c>
      <c r="B329" t="s">
        <v>339</v>
      </c>
      <c r="C329" t="s">
        <v>96</v>
      </c>
      <c r="D329" t="s">
        <v>132</v>
      </c>
      <c r="E329" t="s">
        <v>334</v>
      </c>
      <c r="F329" s="41">
        <v>0.54527777285066148</v>
      </c>
      <c r="G329" s="41">
        <v>3.0681284075334907</v>
      </c>
      <c r="H329" s="41">
        <v>4.3988091697561638</v>
      </c>
      <c r="I329" s="41">
        <v>2.2972257940868674</v>
      </c>
      <c r="J329" s="41">
        <v>1.21</v>
      </c>
      <c r="K329" s="41">
        <v>4.47</v>
      </c>
      <c r="L329" s="41">
        <v>162</v>
      </c>
      <c r="M329" s="41">
        <v>0.95</v>
      </c>
      <c r="N329" s="41">
        <v>4.67</v>
      </c>
      <c r="O329" s="41">
        <v>5.2789999999999999</v>
      </c>
    </row>
    <row r="330" spans="1:15">
      <c r="A330" t="s">
        <v>246</v>
      </c>
      <c r="B330" t="s">
        <v>339</v>
      </c>
      <c r="C330" t="s">
        <v>96</v>
      </c>
      <c r="D330" t="s">
        <v>132</v>
      </c>
      <c r="E330" t="s">
        <v>334</v>
      </c>
      <c r="F330" s="41">
        <v>0.57421698150940181</v>
      </c>
      <c r="G330" s="41">
        <v>3.7947348894975859</v>
      </c>
      <c r="H330" s="41">
        <v>4.4914463461085736</v>
      </c>
      <c r="I330" s="41">
        <v>2.4079629102109981</v>
      </c>
      <c r="J330" s="41">
        <v>1.56</v>
      </c>
      <c r="K330" s="41">
        <v>3.93</v>
      </c>
      <c r="L330" s="41">
        <v>186</v>
      </c>
      <c r="M330" s="41">
        <v>0.86</v>
      </c>
      <c r="N330" s="41">
        <v>4.12</v>
      </c>
      <c r="O330" s="41">
        <v>5.3849999999999998</v>
      </c>
    </row>
    <row r="331" spans="1:15">
      <c r="A331" t="s">
        <v>247</v>
      </c>
      <c r="B331" t="s">
        <v>339</v>
      </c>
      <c r="C331" t="s">
        <v>96</v>
      </c>
      <c r="D331" t="s">
        <v>132</v>
      </c>
      <c r="E331" t="s">
        <v>334</v>
      </c>
      <c r="F331" s="41">
        <v>0.72675127858669442</v>
      </c>
      <c r="G331" s="41">
        <v>4.1646278565722987</v>
      </c>
      <c r="H331" s="41">
        <v>5.1287735201010625</v>
      </c>
      <c r="I331" s="41">
        <v>2.9645921998381284</v>
      </c>
      <c r="J331" s="41">
        <v>0.82</v>
      </c>
      <c r="K331" s="41">
        <v>3.61</v>
      </c>
      <c r="L331" s="41">
        <v>184.4</v>
      </c>
      <c r="M331" s="41">
        <v>0.84</v>
      </c>
      <c r="N331" s="41">
        <v>4.38</v>
      </c>
      <c r="O331" s="41">
        <v>3.36</v>
      </c>
    </row>
    <row r="332" spans="1:15">
      <c r="A332" t="s">
        <v>248</v>
      </c>
      <c r="B332" t="s">
        <v>339</v>
      </c>
      <c r="C332" t="s">
        <v>100</v>
      </c>
      <c r="D332" t="s">
        <v>136</v>
      </c>
      <c r="E332" t="s">
        <v>334</v>
      </c>
      <c r="F332" s="41">
        <v>0.4631776144293791</v>
      </c>
      <c r="G332" s="41">
        <v>3.2670772579975704</v>
      </c>
      <c r="H332" s="41">
        <v>3.1270127624583139</v>
      </c>
      <c r="I332" s="41">
        <v>1.4750426518785493</v>
      </c>
      <c r="J332" s="41">
        <v>2.2599999999999998</v>
      </c>
      <c r="K332" s="41">
        <v>4.9000000000000004</v>
      </c>
      <c r="L332" s="41">
        <v>101</v>
      </c>
      <c r="M332" s="41">
        <v>1.67</v>
      </c>
      <c r="N332" s="41">
        <v>4.2</v>
      </c>
      <c r="O332" s="41">
        <v>6.91</v>
      </c>
    </row>
    <row r="333" spans="1:15">
      <c r="A333" t="s">
        <v>249</v>
      </c>
      <c r="B333" t="s">
        <v>339</v>
      </c>
      <c r="C333" t="s">
        <v>100</v>
      </c>
      <c r="D333" t="s">
        <v>136</v>
      </c>
      <c r="E333" t="s">
        <v>334</v>
      </c>
      <c r="F333" s="41">
        <v>0.61164336256562479</v>
      </c>
      <c r="G333" s="41">
        <v>4.0239345344266004</v>
      </c>
      <c r="H333" s="41">
        <v>3.6755122808873937</v>
      </c>
      <c r="I333" s="41">
        <v>2.2667349307220648</v>
      </c>
      <c r="J333" s="41">
        <v>2.83</v>
      </c>
      <c r="K333" s="41">
        <v>5.35</v>
      </c>
      <c r="L333" s="41">
        <v>116.5</v>
      </c>
      <c r="M333" s="41">
        <v>1.66</v>
      </c>
      <c r="N333" s="41">
        <v>4.46</v>
      </c>
      <c r="O333" s="41">
        <v>7.1260000000000003</v>
      </c>
    </row>
    <row r="334" spans="1:15">
      <c r="A334" t="s">
        <v>250</v>
      </c>
      <c r="B334" t="s">
        <v>339</v>
      </c>
      <c r="C334" t="s">
        <v>100</v>
      </c>
      <c r="D334" t="s">
        <v>136</v>
      </c>
      <c r="E334" t="s">
        <v>334</v>
      </c>
      <c r="F334" s="41">
        <v>0.57068891346650452</v>
      </c>
      <c r="G334" s="41">
        <v>3.9148734995660739</v>
      </c>
      <c r="H334" s="41">
        <v>3.3813630828496599</v>
      </c>
      <c r="I334" s="41">
        <v>2.438784661372984</v>
      </c>
      <c r="J334" s="41">
        <v>3.79</v>
      </c>
      <c r="K334" s="41">
        <v>6.01</v>
      </c>
      <c r="L334" s="41">
        <v>108.2</v>
      </c>
      <c r="M334" s="41">
        <v>1.94</v>
      </c>
      <c r="N334" s="41">
        <v>3.84</v>
      </c>
      <c r="O334" s="41">
        <v>8.7010000000000005</v>
      </c>
    </row>
    <row r="335" spans="1:15">
      <c r="A335" t="s">
        <v>251</v>
      </c>
      <c r="B335" t="s">
        <v>339</v>
      </c>
      <c r="C335" t="s">
        <v>104</v>
      </c>
      <c r="D335" t="s">
        <v>321</v>
      </c>
      <c r="E335" t="s">
        <v>334</v>
      </c>
      <c r="F335" s="41">
        <v>0.48819257315463555</v>
      </c>
      <c r="G335" s="41">
        <v>4.1766746662096104</v>
      </c>
      <c r="H335" s="41">
        <v>3.4586149584966739</v>
      </c>
      <c r="I335" s="41">
        <v>2.6524636540749817</v>
      </c>
      <c r="J335" s="41">
        <v>2.83</v>
      </c>
      <c r="K335" s="41">
        <v>5.6</v>
      </c>
      <c r="L335" s="41">
        <v>114.1</v>
      </c>
      <c r="M335" s="41">
        <v>1.62</v>
      </c>
      <c r="N335" s="41">
        <v>4.0599999999999996</v>
      </c>
      <c r="O335" s="41">
        <v>8.6549999999999994</v>
      </c>
    </row>
    <row r="336" spans="1:15">
      <c r="A336" t="s">
        <v>252</v>
      </c>
      <c r="B336" t="s">
        <v>339</v>
      </c>
      <c r="C336" t="s">
        <v>104</v>
      </c>
      <c r="D336" t="s">
        <v>321</v>
      </c>
      <c r="E336" t="s">
        <v>334</v>
      </c>
      <c r="F336" s="41">
        <v>0.49817055068350702</v>
      </c>
      <c r="G336" s="41">
        <v>3.677343244665781</v>
      </c>
      <c r="H336" s="41">
        <v>3.5667185118860294</v>
      </c>
      <c r="I336" s="41">
        <v>2.28688927663881</v>
      </c>
      <c r="J336" s="41">
        <v>2.2400000000000002</v>
      </c>
      <c r="K336" s="41">
        <v>4.9400000000000004</v>
      </c>
      <c r="L336" s="41">
        <v>113.8</v>
      </c>
      <c r="M336" s="41">
        <v>1.38</v>
      </c>
      <c r="N336" s="41">
        <v>4.28</v>
      </c>
      <c r="O336" s="41">
        <v>6.0289999999999999</v>
      </c>
    </row>
    <row r="337" spans="1:15">
      <c r="A337" t="s">
        <v>253</v>
      </c>
      <c r="B337" t="s">
        <v>339</v>
      </c>
      <c r="C337" t="s">
        <v>104</v>
      </c>
      <c r="D337" t="s">
        <v>321</v>
      </c>
      <c r="E337" t="s">
        <v>334</v>
      </c>
      <c r="F337" s="41">
        <v>0.53429824067166454</v>
      </c>
      <c r="G337" s="41">
        <v>3.5604258037861873</v>
      </c>
      <c r="H337" s="41">
        <v>3.5402193529953045</v>
      </c>
      <c r="I337" s="41">
        <v>2.713847811909269</v>
      </c>
      <c r="J337" s="41">
        <v>2.7</v>
      </c>
      <c r="K337" s="41">
        <v>5.43</v>
      </c>
      <c r="L337" s="41">
        <v>111.1</v>
      </c>
      <c r="M337" s="41">
        <v>0.98</v>
      </c>
      <c r="N337" s="41">
        <v>4.01</v>
      </c>
      <c r="O337" s="41">
        <v>7.3079999999999998</v>
      </c>
    </row>
    <row r="338" spans="1:15">
      <c r="A338" t="s">
        <v>254</v>
      </c>
      <c r="B338" t="s">
        <v>339</v>
      </c>
      <c r="C338" t="s">
        <v>108</v>
      </c>
      <c r="D338" t="s">
        <v>322</v>
      </c>
      <c r="E338" t="s">
        <v>334</v>
      </c>
      <c r="F338" s="41">
        <v>0.52856214166097149</v>
      </c>
      <c r="G338" s="41">
        <v>3.2599252157318448</v>
      </c>
      <c r="H338" s="41">
        <v>3.6153835131049132</v>
      </c>
      <c r="I338" s="41">
        <v>2.2017706265416739</v>
      </c>
      <c r="J338" s="41">
        <v>2.0099999999999998</v>
      </c>
      <c r="K338" s="41">
        <v>5.13</v>
      </c>
      <c r="L338" s="41">
        <v>127.4</v>
      </c>
      <c r="M338" s="41">
        <v>2.19</v>
      </c>
      <c r="N338" s="41">
        <v>4.03</v>
      </c>
      <c r="O338" s="41">
        <v>5.6779999999999999</v>
      </c>
    </row>
    <row r="339" spans="1:15">
      <c r="A339" t="s">
        <v>255</v>
      </c>
      <c r="B339" t="s">
        <v>339</v>
      </c>
      <c r="C339" t="s">
        <v>108</v>
      </c>
      <c r="D339" t="s">
        <v>322</v>
      </c>
      <c r="E339" t="s">
        <v>334</v>
      </c>
      <c r="F339" s="41">
        <v>0.41299827492961466</v>
      </c>
      <c r="G339" s="41">
        <v>3.1775482994389339</v>
      </c>
      <c r="H339" s="41">
        <v>3.5965695370100335</v>
      </c>
      <c r="I339" s="41">
        <v>1.9905956496021464</v>
      </c>
      <c r="J339" s="41">
        <v>1.91</v>
      </c>
      <c r="K339" s="41">
        <v>4.82</v>
      </c>
      <c r="L339" s="41">
        <v>133.1</v>
      </c>
      <c r="M339" s="41">
        <v>1.82</v>
      </c>
      <c r="N339" s="41">
        <v>4.29</v>
      </c>
      <c r="O339" s="41">
        <v>5.694</v>
      </c>
    </row>
    <row r="340" spans="1:15">
      <c r="A340" t="s">
        <v>256</v>
      </c>
      <c r="B340" t="s">
        <v>339</v>
      </c>
      <c r="C340" t="s">
        <v>108</v>
      </c>
      <c r="D340" t="s">
        <v>322</v>
      </c>
      <c r="E340" t="s">
        <v>334</v>
      </c>
      <c r="F340" s="41">
        <v>0.39606747598900266</v>
      </c>
      <c r="G340" s="41">
        <v>2.8331170941225903</v>
      </c>
      <c r="H340" s="41">
        <v>3.2558238510017699</v>
      </c>
      <c r="I340" s="41">
        <v>2.1149543133770043</v>
      </c>
      <c r="J340" s="41">
        <v>1.41</v>
      </c>
      <c r="K340" s="41">
        <v>4.58</v>
      </c>
      <c r="L340" s="41">
        <v>121.1</v>
      </c>
      <c r="M340" s="41">
        <v>2.15</v>
      </c>
      <c r="N340" s="41">
        <v>4.5199999999999996</v>
      </c>
      <c r="O340" s="41">
        <v>4.8319999999999999</v>
      </c>
    </row>
    <row r="341" spans="1:15">
      <c r="A341" t="s">
        <v>257</v>
      </c>
      <c r="B341" t="s">
        <v>339</v>
      </c>
      <c r="C341" t="s">
        <v>112</v>
      </c>
      <c r="D341" t="s">
        <v>148</v>
      </c>
      <c r="E341" t="s">
        <v>334</v>
      </c>
      <c r="F341" s="41">
        <v>0.3937100229719554</v>
      </c>
      <c r="G341" s="41">
        <v>3.2277364864216684</v>
      </c>
      <c r="H341" s="41">
        <v>4.040953177409401</v>
      </c>
      <c r="I341" s="41">
        <v>1.861100772543077</v>
      </c>
      <c r="J341" s="41">
        <v>0.54</v>
      </c>
      <c r="K341" s="41">
        <v>3.01</v>
      </c>
      <c r="L341" s="41">
        <v>154.5</v>
      </c>
      <c r="M341" s="41">
        <v>2.16</v>
      </c>
      <c r="N341" s="41">
        <v>5.24</v>
      </c>
      <c r="O341" s="41">
        <v>3.16</v>
      </c>
    </row>
    <row r="342" spans="1:15">
      <c r="A342" t="s">
        <v>258</v>
      </c>
      <c r="B342" t="s">
        <v>339</v>
      </c>
      <c r="C342" t="s">
        <v>112</v>
      </c>
      <c r="D342" t="s">
        <v>148</v>
      </c>
      <c r="E342" t="s">
        <v>334</v>
      </c>
      <c r="F342" s="41">
        <v>0.29431618349045036</v>
      </c>
      <c r="G342" s="41">
        <v>1.9133851784724145</v>
      </c>
      <c r="H342" s="41">
        <v>2.7291370661410732</v>
      </c>
      <c r="I342" s="41">
        <v>1.0098725379756697</v>
      </c>
      <c r="J342" s="41">
        <v>0.18</v>
      </c>
      <c r="K342" s="41">
        <v>0.51</v>
      </c>
      <c r="L342" s="41">
        <v>96.9</v>
      </c>
      <c r="M342" s="41">
        <v>1.7</v>
      </c>
      <c r="N342" s="41">
        <v>4.66</v>
      </c>
      <c r="O342" s="41">
        <v>2.5529999999999999</v>
      </c>
    </row>
    <row r="343" spans="1:15">
      <c r="A343" t="s">
        <v>259</v>
      </c>
      <c r="B343" t="s">
        <v>339</v>
      </c>
      <c r="C343" t="s">
        <v>112</v>
      </c>
      <c r="D343" t="s">
        <v>148</v>
      </c>
      <c r="E343" t="s">
        <v>334</v>
      </c>
      <c r="F343" s="41">
        <v>0.26749962177136205</v>
      </c>
      <c r="G343" s="41">
        <v>1.9921623100335051</v>
      </c>
      <c r="H343" s="41">
        <v>2.3553335727372469</v>
      </c>
      <c r="I343" s="41">
        <v>1.5118174024186952</v>
      </c>
      <c r="J343" s="41">
        <v>0.19</v>
      </c>
      <c r="K343" s="41">
        <v>0.46</v>
      </c>
      <c r="L343" s="41">
        <v>91.7</v>
      </c>
      <c r="M343" s="41">
        <v>1.52</v>
      </c>
      <c r="N343" s="41">
        <v>5.52</v>
      </c>
      <c r="O343" s="41">
        <v>3.2709999999999999</v>
      </c>
    </row>
    <row r="344" spans="1:15">
      <c r="A344" t="s">
        <v>260</v>
      </c>
      <c r="B344" t="s">
        <v>339</v>
      </c>
      <c r="C344" t="s">
        <v>116</v>
      </c>
      <c r="D344" t="s">
        <v>323</v>
      </c>
      <c r="E344" t="s">
        <v>334</v>
      </c>
      <c r="F344" s="41">
        <v>0.42909914111667008</v>
      </c>
      <c r="G344" s="41">
        <v>3.4884103506517841</v>
      </c>
      <c r="H344" s="41">
        <v>3.474640335503778</v>
      </c>
      <c r="I344" s="41">
        <v>1.7926546940643926</v>
      </c>
      <c r="J344" s="41">
        <v>0.31</v>
      </c>
      <c r="K344" s="41">
        <v>0.77</v>
      </c>
      <c r="L344" s="41">
        <v>126.4</v>
      </c>
      <c r="M344" s="41">
        <v>1.74</v>
      </c>
      <c r="N344" s="41">
        <v>4.1100000000000003</v>
      </c>
      <c r="O344" s="41">
        <v>4.7770000000000001</v>
      </c>
    </row>
    <row r="345" spans="1:15">
      <c r="A345" t="s">
        <v>261</v>
      </c>
      <c r="B345" t="s">
        <v>339</v>
      </c>
      <c r="C345" t="s">
        <v>116</v>
      </c>
      <c r="D345" t="s">
        <v>323</v>
      </c>
      <c r="E345" t="s">
        <v>334</v>
      </c>
      <c r="F345" s="41">
        <v>0.46996222930567655</v>
      </c>
      <c r="G345" s="41">
        <v>2.4312388568658463</v>
      </c>
      <c r="H345" s="41">
        <v>3.2712923616263874</v>
      </c>
      <c r="I345" s="41">
        <v>1.9225669070838738</v>
      </c>
      <c r="J345" s="41">
        <v>0.45</v>
      </c>
      <c r="K345" s="41">
        <v>0.82</v>
      </c>
      <c r="L345" s="41">
        <v>114.1</v>
      </c>
      <c r="M345" s="41">
        <v>1.57</v>
      </c>
      <c r="N345" s="41">
        <v>4.2300000000000004</v>
      </c>
      <c r="O345" s="41">
        <v>3.0329999999999999</v>
      </c>
    </row>
    <row r="346" spans="1:15">
      <c r="A346" t="s">
        <v>262</v>
      </c>
      <c r="B346" t="s">
        <v>339</v>
      </c>
      <c r="C346" t="s">
        <v>116</v>
      </c>
      <c r="D346" t="s">
        <v>323</v>
      </c>
      <c r="E346" t="s">
        <v>334</v>
      </c>
      <c r="F346" s="41">
        <v>0.53624841187446637</v>
      </c>
      <c r="G346" s="41">
        <v>2.7194923802354904</v>
      </c>
      <c r="H346" s="41">
        <v>3.4008811428764192</v>
      </c>
      <c r="I346" s="41">
        <v>2.0951040265171308</v>
      </c>
      <c r="J346" s="41">
        <v>0.73</v>
      </c>
      <c r="K346" s="41">
        <v>1.1000000000000001</v>
      </c>
      <c r="L346" s="41">
        <v>113.1</v>
      </c>
      <c r="M346" s="41">
        <v>1.58</v>
      </c>
      <c r="N346" s="41">
        <v>4.99</v>
      </c>
      <c r="O346" s="41">
        <v>4.6539999999999999</v>
      </c>
    </row>
    <row r="347" spans="1:15">
      <c r="A347" t="s">
        <v>263</v>
      </c>
      <c r="B347" t="s">
        <v>339</v>
      </c>
      <c r="C347" t="s">
        <v>120</v>
      </c>
      <c r="D347" t="s">
        <v>156</v>
      </c>
      <c r="E347" t="s">
        <v>334</v>
      </c>
      <c r="F347" s="41">
        <v>0.61799337273867105</v>
      </c>
      <c r="G347" s="41">
        <v>2.9664474386859814</v>
      </c>
      <c r="H347" s="41">
        <v>2.7386507335721317</v>
      </c>
      <c r="I347" s="41">
        <v>1.8951628393405464</v>
      </c>
      <c r="J347" s="41">
        <v>1.01</v>
      </c>
      <c r="K347" s="41">
        <v>1.1499999999999999</v>
      </c>
      <c r="L347" s="41">
        <v>91.3</v>
      </c>
      <c r="M347" s="41">
        <v>1.77</v>
      </c>
      <c r="N347" s="41">
        <v>4.87</v>
      </c>
      <c r="O347" s="41">
        <v>4.3369999999999997</v>
      </c>
    </row>
    <row r="348" spans="1:15">
      <c r="A348" t="s">
        <v>264</v>
      </c>
      <c r="B348" t="s">
        <v>339</v>
      </c>
      <c r="C348" t="s">
        <v>120</v>
      </c>
      <c r="D348" t="s">
        <v>156</v>
      </c>
      <c r="E348" t="s">
        <v>334</v>
      </c>
      <c r="F348" s="41">
        <v>0.38790561673874746</v>
      </c>
      <c r="G348" s="41">
        <v>2.5797004728097614</v>
      </c>
      <c r="H348" s="41">
        <v>2.4982786128162591</v>
      </c>
      <c r="I348" s="41">
        <v>1.438024952190021</v>
      </c>
      <c r="J348" s="41">
        <v>0.73</v>
      </c>
      <c r="K348" s="41">
        <v>0.93</v>
      </c>
      <c r="L348" s="41">
        <v>89</v>
      </c>
      <c r="M348" s="41">
        <v>1.51</v>
      </c>
      <c r="N348" s="41">
        <v>4.6900000000000004</v>
      </c>
      <c r="O348" s="41">
        <v>3.379</v>
      </c>
    </row>
    <row r="349" spans="1:15">
      <c r="A349" t="s">
        <v>265</v>
      </c>
      <c r="B349" t="s">
        <v>339</v>
      </c>
      <c r="C349" t="s">
        <v>120</v>
      </c>
      <c r="D349" t="s">
        <v>156</v>
      </c>
      <c r="E349" t="s">
        <v>334</v>
      </c>
      <c r="F349" s="41">
        <v>0.40757553530220902</v>
      </c>
      <c r="G349" s="41">
        <v>2.8221447195661891</v>
      </c>
      <c r="H349" s="41">
        <v>2.3955058282262982</v>
      </c>
      <c r="I349" s="41">
        <v>1.4123766764515688</v>
      </c>
      <c r="J349" s="41">
        <v>0.72</v>
      </c>
      <c r="K349" s="41">
        <v>0.93</v>
      </c>
      <c r="L349" s="41">
        <v>85.8</v>
      </c>
      <c r="M349" s="41">
        <v>1.37</v>
      </c>
      <c r="N349" s="41">
        <v>4.7</v>
      </c>
      <c r="O349" s="41">
        <v>3.2370000000000001</v>
      </c>
    </row>
    <row r="350" spans="1:15">
      <c r="A350" t="s">
        <v>266</v>
      </c>
      <c r="B350" t="s">
        <v>339</v>
      </c>
      <c r="C350" t="s">
        <v>124</v>
      </c>
      <c r="D350" t="s">
        <v>160</v>
      </c>
      <c r="E350" t="s">
        <v>334</v>
      </c>
      <c r="F350" s="41">
        <v>0.46325702157555271</v>
      </c>
      <c r="G350" s="41">
        <v>2.5463561383728002</v>
      </c>
      <c r="H350" s="41">
        <v>2.6421389620067139</v>
      </c>
      <c r="I350" s="41">
        <v>1.6258037770917468</v>
      </c>
      <c r="J350" s="41">
        <v>0.56999999999999995</v>
      </c>
      <c r="K350" s="41">
        <v>0.89</v>
      </c>
      <c r="L350" s="41">
        <v>119</v>
      </c>
      <c r="M350" s="41">
        <v>1.79</v>
      </c>
      <c r="N350" s="41">
        <v>4.25</v>
      </c>
      <c r="O350" s="41">
        <v>3.6120000000000001</v>
      </c>
    </row>
    <row r="351" spans="1:15">
      <c r="A351" t="s">
        <v>267</v>
      </c>
      <c r="B351" t="s">
        <v>339</v>
      </c>
      <c r="C351" t="s">
        <v>124</v>
      </c>
      <c r="D351" t="s">
        <v>160</v>
      </c>
      <c r="E351" t="s">
        <v>334</v>
      </c>
      <c r="F351" s="41">
        <v>0.48071890917121846</v>
      </c>
      <c r="G351" s="41">
        <v>2.7293128877593245</v>
      </c>
      <c r="H351" s="41">
        <v>3.1383773171951455</v>
      </c>
      <c r="I351" s="41">
        <v>1.7394398876551669</v>
      </c>
      <c r="J351" s="41">
        <v>0.48</v>
      </c>
      <c r="K351" s="41">
        <v>0.83</v>
      </c>
      <c r="L351" s="41">
        <v>99</v>
      </c>
      <c r="M351" s="41">
        <v>1.81</v>
      </c>
      <c r="N351" s="41">
        <v>4.32</v>
      </c>
      <c r="O351" s="41">
        <v>3.1080000000000001</v>
      </c>
    </row>
    <row r="352" spans="1:15">
      <c r="A352" t="s">
        <v>268</v>
      </c>
      <c r="B352" t="s">
        <v>339</v>
      </c>
      <c r="C352" t="s">
        <v>124</v>
      </c>
      <c r="D352" t="s">
        <v>160</v>
      </c>
      <c r="E352" t="s">
        <v>334</v>
      </c>
      <c r="F352" s="41">
        <v>0.46414074626683993</v>
      </c>
      <c r="G352" s="41">
        <v>2.8357690049634474</v>
      </c>
      <c r="H352" s="41">
        <v>3.2784057429260391</v>
      </c>
      <c r="I352" s="41">
        <v>1.6801289952527827</v>
      </c>
      <c r="J352" s="41">
        <v>0.63</v>
      </c>
      <c r="K352" s="41">
        <v>1.08</v>
      </c>
      <c r="L352" s="41">
        <v>112.2</v>
      </c>
      <c r="M352" s="41">
        <v>2.0499999999999998</v>
      </c>
      <c r="N352" s="41">
        <v>4.1500000000000004</v>
      </c>
      <c r="O352" s="41">
        <v>3.698</v>
      </c>
    </row>
    <row r="353" spans="1:15">
      <c r="A353" t="s">
        <v>269</v>
      </c>
      <c r="B353" t="s">
        <v>339</v>
      </c>
      <c r="C353" t="s">
        <v>128</v>
      </c>
      <c r="D353" t="s">
        <v>320</v>
      </c>
      <c r="E353" t="s">
        <v>331</v>
      </c>
      <c r="F353" s="41">
        <v>0.55801706984969979</v>
      </c>
      <c r="G353" s="41">
        <v>3.4672911863476736</v>
      </c>
      <c r="H353" s="41">
        <v>5.1722293670178772</v>
      </c>
      <c r="I353" s="41">
        <v>1.2848924644303408</v>
      </c>
      <c r="J353" s="41">
        <v>0</v>
      </c>
      <c r="K353" s="41">
        <v>0.13</v>
      </c>
      <c r="L353" s="41">
        <v>212.2</v>
      </c>
      <c r="M353" s="41">
        <v>0.22</v>
      </c>
      <c r="N353" s="41">
        <v>5.0999999999999996</v>
      </c>
      <c r="O353" s="41">
        <v>2.1960000000000002</v>
      </c>
    </row>
    <row r="354" spans="1:15">
      <c r="A354" t="s">
        <v>270</v>
      </c>
      <c r="B354" t="s">
        <v>339</v>
      </c>
      <c r="C354" t="s">
        <v>128</v>
      </c>
      <c r="D354" t="s">
        <v>320</v>
      </c>
      <c r="E354" t="s">
        <v>331</v>
      </c>
      <c r="F354" s="41">
        <v>0.5198205248596206</v>
      </c>
      <c r="G354" s="41">
        <v>3.5009351023355251</v>
      </c>
      <c r="H354" s="41">
        <v>4.9473268236804584</v>
      </c>
      <c r="I354" s="41">
        <v>1.5651425047603158</v>
      </c>
      <c r="J354" s="41">
        <v>0</v>
      </c>
      <c r="K354" s="41">
        <v>0.19</v>
      </c>
      <c r="L354" s="41">
        <v>206.8</v>
      </c>
      <c r="M354" s="41">
        <v>0</v>
      </c>
      <c r="N354" s="41">
        <v>5.16</v>
      </c>
      <c r="O354" s="41">
        <v>2.2050000000000001</v>
      </c>
    </row>
    <row r="355" spans="1:15">
      <c r="A355" t="s">
        <v>271</v>
      </c>
      <c r="B355" t="s">
        <v>339</v>
      </c>
      <c r="C355" t="s">
        <v>128</v>
      </c>
      <c r="D355" t="s">
        <v>320</v>
      </c>
      <c r="E355" t="s">
        <v>331</v>
      </c>
      <c r="F355" s="41">
        <v>0.47249301189985554</v>
      </c>
      <c r="G355" s="41">
        <v>3.6382587995505333</v>
      </c>
      <c r="H355" s="41">
        <v>4.8623097556998864</v>
      </c>
      <c r="I355" s="41">
        <v>1.9379844898499448</v>
      </c>
      <c r="J355" s="41">
        <v>0</v>
      </c>
      <c r="K355" s="41">
        <v>0.22</v>
      </c>
      <c r="L355" s="41">
        <v>206.2</v>
      </c>
      <c r="M355" s="41">
        <v>0</v>
      </c>
      <c r="N355" s="41">
        <v>5.47</v>
      </c>
      <c r="O355" s="41">
        <v>2.496</v>
      </c>
    </row>
    <row r="356" spans="1:15">
      <c r="A356" t="s">
        <v>272</v>
      </c>
      <c r="B356" t="s">
        <v>339</v>
      </c>
      <c r="C356" t="s">
        <v>132</v>
      </c>
      <c r="D356" t="s">
        <v>132</v>
      </c>
      <c r="E356" t="s">
        <v>331</v>
      </c>
      <c r="F356" s="41">
        <v>0.47517833958497446</v>
      </c>
      <c r="G356" s="41">
        <v>3.3907035099713423</v>
      </c>
      <c r="H356" s="41">
        <v>5.1870674024853125</v>
      </c>
      <c r="I356" s="41">
        <v>2.3718708020632402</v>
      </c>
      <c r="J356" s="41">
        <v>0</v>
      </c>
      <c r="K356" s="41">
        <v>0.11</v>
      </c>
      <c r="L356" s="41">
        <v>199.9</v>
      </c>
      <c r="M356" s="41">
        <v>1.32</v>
      </c>
      <c r="N356" s="41">
        <v>4</v>
      </c>
      <c r="O356" s="41">
        <v>1.9059999999999999</v>
      </c>
    </row>
    <row r="357" spans="1:15">
      <c r="A357" t="s">
        <v>273</v>
      </c>
      <c r="B357" t="s">
        <v>339</v>
      </c>
      <c r="C357" t="s">
        <v>132</v>
      </c>
      <c r="D357" t="s">
        <v>132</v>
      </c>
      <c r="E357" t="s">
        <v>331</v>
      </c>
      <c r="F357" s="41">
        <v>0.4830353778547567</v>
      </c>
      <c r="G357" s="41">
        <v>3.5230064126382761</v>
      </c>
      <c r="H357" s="41">
        <v>4.7839238782050124</v>
      </c>
      <c r="I357" s="41">
        <v>2.1554597493061176</v>
      </c>
      <c r="J357" s="41">
        <v>0</v>
      </c>
      <c r="K357" s="41">
        <v>0.22</v>
      </c>
      <c r="L357" s="41">
        <v>193.6</v>
      </c>
      <c r="M357" s="41">
        <v>0.8</v>
      </c>
      <c r="N357" s="41">
        <v>3.93</v>
      </c>
      <c r="O357" s="41">
        <v>2.6539999999999999</v>
      </c>
    </row>
    <row r="358" spans="1:15">
      <c r="A358" t="s">
        <v>274</v>
      </c>
      <c r="B358" t="s">
        <v>339</v>
      </c>
      <c r="C358" t="s">
        <v>132</v>
      </c>
      <c r="D358" t="s">
        <v>132</v>
      </c>
      <c r="E358" t="s">
        <v>331</v>
      </c>
      <c r="F358" s="41">
        <v>0.45641434556011751</v>
      </c>
      <c r="G358" s="41">
        <v>3.6016425646460064</v>
      </c>
      <c r="H358" s="41">
        <v>4.9376595379369901</v>
      </c>
      <c r="I358" s="41">
        <v>1.9590420700238671</v>
      </c>
      <c r="J358" s="41">
        <v>0</v>
      </c>
      <c r="K358" s="41">
        <v>0.27</v>
      </c>
      <c r="L358" s="41">
        <v>190</v>
      </c>
      <c r="M358" s="41">
        <v>0.69</v>
      </c>
      <c r="N358" s="41">
        <v>3.9</v>
      </c>
      <c r="O358" s="41">
        <v>2.456</v>
      </c>
    </row>
    <row r="359" spans="1:15">
      <c r="A359" t="s">
        <v>275</v>
      </c>
      <c r="B359" t="s">
        <v>339</v>
      </c>
      <c r="C359" t="s">
        <v>136</v>
      </c>
      <c r="D359" t="s">
        <v>136</v>
      </c>
      <c r="E359" t="s">
        <v>331</v>
      </c>
      <c r="F359" s="41">
        <v>0.5407302195117285</v>
      </c>
      <c r="G359" s="41">
        <v>4.6236684965954238</v>
      </c>
      <c r="H359" s="41">
        <v>4.2173667405109043</v>
      </c>
      <c r="I359" s="41">
        <v>3.1347415613836009</v>
      </c>
      <c r="J359" s="41">
        <v>3.64</v>
      </c>
      <c r="K359" s="41">
        <v>3.75</v>
      </c>
      <c r="L359" s="41">
        <v>142.4</v>
      </c>
      <c r="M359" s="41">
        <v>1.59</v>
      </c>
      <c r="N359" s="41">
        <v>3.66</v>
      </c>
      <c r="O359" s="41">
        <v>7.4610000000000003</v>
      </c>
    </row>
    <row r="360" spans="1:15">
      <c r="A360" t="s">
        <v>276</v>
      </c>
      <c r="B360" t="s">
        <v>339</v>
      </c>
      <c r="C360" t="s">
        <v>136</v>
      </c>
      <c r="D360" t="s">
        <v>136</v>
      </c>
      <c r="E360" t="s">
        <v>331</v>
      </c>
      <c r="F360" s="41">
        <v>0.50324748499693073</v>
      </c>
      <c r="G360" s="41">
        <v>3.6226458480293622</v>
      </c>
      <c r="H360" s="41">
        <v>3.8103635561313038</v>
      </c>
      <c r="I360" s="41">
        <v>2.5407696462130498</v>
      </c>
      <c r="J360" s="41">
        <v>2.2000000000000002</v>
      </c>
      <c r="K360" s="41">
        <v>3.05</v>
      </c>
      <c r="L360" s="41">
        <v>128.80000000000001</v>
      </c>
      <c r="M360" s="41">
        <v>0.94</v>
      </c>
      <c r="N360" s="41">
        <v>3.93</v>
      </c>
      <c r="O360" s="41">
        <v>4.6749999999999998</v>
      </c>
    </row>
    <row r="361" spans="1:15">
      <c r="A361" t="s">
        <v>277</v>
      </c>
      <c r="B361" t="s">
        <v>339</v>
      </c>
      <c r="C361" t="s">
        <v>136</v>
      </c>
      <c r="D361" t="s">
        <v>136</v>
      </c>
      <c r="E361" t="s">
        <v>331</v>
      </c>
      <c r="F361" s="41">
        <v>0.4375239831736078</v>
      </c>
      <c r="G361" s="41">
        <v>3.6636554116668192</v>
      </c>
      <c r="H361" s="41">
        <v>3.7731580543006706</v>
      </c>
      <c r="I361" s="41">
        <v>2.2267675600847685</v>
      </c>
      <c r="J361" s="41">
        <v>2.16</v>
      </c>
      <c r="K361" s="41">
        <v>2.84</v>
      </c>
      <c r="L361" s="41">
        <v>137.30000000000001</v>
      </c>
      <c r="M361" s="41">
        <v>1.1200000000000001</v>
      </c>
      <c r="N361" s="41">
        <v>3.84</v>
      </c>
      <c r="O361" s="41">
        <v>6.0419999999999998</v>
      </c>
    </row>
    <row r="362" spans="1:15">
      <c r="A362" t="s">
        <v>278</v>
      </c>
      <c r="B362" t="s">
        <v>339</v>
      </c>
      <c r="C362" t="s">
        <v>140</v>
      </c>
      <c r="D362" t="s">
        <v>321</v>
      </c>
      <c r="E362" t="s">
        <v>331</v>
      </c>
      <c r="F362" s="41">
        <v>0.3746984152654817</v>
      </c>
      <c r="G362" s="41">
        <v>2.1501939811886563</v>
      </c>
      <c r="H362" s="41">
        <v>3.0883500202474585</v>
      </c>
      <c r="I362" s="41">
        <v>1.3777676014488458</v>
      </c>
      <c r="J362" s="41">
        <v>0.47</v>
      </c>
      <c r="K362" s="41">
        <v>1.2</v>
      </c>
      <c r="L362" s="41">
        <v>105.2</v>
      </c>
      <c r="M362" s="41">
        <v>2.2799999999999998</v>
      </c>
      <c r="N362" s="41">
        <v>3.97</v>
      </c>
      <c r="O362" s="41">
        <v>2.9809999999999999</v>
      </c>
    </row>
    <row r="363" spans="1:15">
      <c r="A363" t="s">
        <v>279</v>
      </c>
      <c r="B363" t="s">
        <v>339</v>
      </c>
      <c r="C363" t="s">
        <v>140</v>
      </c>
      <c r="D363" t="s">
        <v>321</v>
      </c>
      <c r="E363" t="s">
        <v>331</v>
      </c>
      <c r="F363" s="41">
        <v>0.2889737048494998</v>
      </c>
      <c r="G363" s="41">
        <v>2.580960744574647</v>
      </c>
      <c r="H363" s="41">
        <v>3.269383867453461</v>
      </c>
      <c r="I363" s="41">
        <v>2.222911673907678</v>
      </c>
      <c r="J363" s="41">
        <v>0.16</v>
      </c>
      <c r="K363" s="41">
        <v>0.92</v>
      </c>
      <c r="L363" s="41">
        <v>123.9</v>
      </c>
      <c r="M363" s="41">
        <v>0</v>
      </c>
      <c r="N363" s="41">
        <v>4.07</v>
      </c>
      <c r="O363" s="41">
        <v>2.4119999999999999</v>
      </c>
    </row>
    <row r="364" spans="1:15">
      <c r="A364" t="s">
        <v>280</v>
      </c>
      <c r="B364" t="s">
        <v>339</v>
      </c>
      <c r="C364" t="s">
        <v>140</v>
      </c>
      <c r="D364" t="s">
        <v>321</v>
      </c>
      <c r="E364" t="s">
        <v>331</v>
      </c>
      <c r="F364" s="41">
        <v>0.33603225812061233</v>
      </c>
      <c r="G364" s="41">
        <v>3.5268790782480011</v>
      </c>
      <c r="H364" s="41">
        <v>3.3776858444963449</v>
      </c>
      <c r="I364" s="41">
        <v>2.4800726022278692</v>
      </c>
      <c r="J364" s="41">
        <v>0.89</v>
      </c>
      <c r="K364" s="41">
        <v>1.47</v>
      </c>
      <c r="L364" s="41">
        <v>126.2</v>
      </c>
      <c r="M364" s="41">
        <v>0</v>
      </c>
      <c r="N364" s="41">
        <v>3.84</v>
      </c>
      <c r="O364" s="41">
        <v>4.03</v>
      </c>
    </row>
    <row r="365" spans="1:15">
      <c r="A365" t="s">
        <v>281</v>
      </c>
      <c r="B365" t="s">
        <v>339</v>
      </c>
      <c r="C365" t="s">
        <v>144</v>
      </c>
      <c r="D365" t="s">
        <v>322</v>
      </c>
      <c r="E365" t="s">
        <v>331</v>
      </c>
      <c r="F365" s="41">
        <v>0.36240909209476063</v>
      </c>
      <c r="G365" s="41">
        <v>3.778277128683174</v>
      </c>
      <c r="H365" s="41">
        <v>4.2682592072597334</v>
      </c>
      <c r="I365" s="41">
        <v>2.1067998668076724</v>
      </c>
      <c r="J365" s="41">
        <v>0.65</v>
      </c>
      <c r="K365" s="41">
        <v>0.95</v>
      </c>
      <c r="L365" s="41">
        <v>171.9</v>
      </c>
      <c r="M365" s="41">
        <v>0</v>
      </c>
      <c r="N365" s="41">
        <v>3.86</v>
      </c>
      <c r="O365" s="41">
        <v>3.3119999999999998</v>
      </c>
    </row>
    <row r="366" spans="1:15">
      <c r="A366" t="s">
        <v>282</v>
      </c>
      <c r="B366" t="s">
        <v>339</v>
      </c>
      <c r="C366" t="s">
        <v>144</v>
      </c>
      <c r="D366" t="s">
        <v>322</v>
      </c>
      <c r="E366" t="s">
        <v>331</v>
      </c>
      <c r="F366" s="41">
        <v>0.2941437077536001</v>
      </c>
      <c r="G366" s="41">
        <v>3.8349493070935536</v>
      </c>
      <c r="H366" s="41">
        <v>3.9382924061722386</v>
      </c>
      <c r="I366" s="41">
        <v>2.2522190917275982</v>
      </c>
      <c r="J366" s="41">
        <v>0</v>
      </c>
      <c r="K366" s="41">
        <v>0.54</v>
      </c>
      <c r="L366" s="41">
        <v>153.30000000000001</v>
      </c>
      <c r="M366" s="41">
        <v>0</v>
      </c>
      <c r="N366" s="41">
        <v>3.91</v>
      </c>
      <c r="O366" s="41">
        <v>2.6829999999999998</v>
      </c>
    </row>
    <row r="367" spans="1:15">
      <c r="A367" t="s">
        <v>283</v>
      </c>
      <c r="B367" t="s">
        <v>339</v>
      </c>
      <c r="C367" t="s">
        <v>144</v>
      </c>
      <c r="D367" t="s">
        <v>322</v>
      </c>
      <c r="E367" t="s">
        <v>331</v>
      </c>
      <c r="F367" s="41">
        <v>0.3134225674681636</v>
      </c>
      <c r="G367" s="41">
        <v>3.5278050575871158</v>
      </c>
      <c r="H367" s="41">
        <v>4.541859822424958</v>
      </c>
      <c r="I367" s="41">
        <v>1.8373439229966344</v>
      </c>
      <c r="J367" s="41">
        <v>0</v>
      </c>
      <c r="K367" s="41">
        <v>0.34</v>
      </c>
      <c r="L367" s="41">
        <v>188.1</v>
      </c>
      <c r="M367" s="41">
        <v>0</v>
      </c>
      <c r="N367" s="41">
        <v>3.89</v>
      </c>
      <c r="O367" s="41">
        <v>2.5059999999999998</v>
      </c>
    </row>
    <row r="368" spans="1:15">
      <c r="A368" t="s">
        <v>284</v>
      </c>
      <c r="B368" t="s">
        <v>339</v>
      </c>
      <c r="C368" t="s">
        <v>148</v>
      </c>
      <c r="D368" t="s">
        <v>148</v>
      </c>
      <c r="E368" t="s">
        <v>331</v>
      </c>
      <c r="F368" s="41">
        <v>9.7067978554870968E-2</v>
      </c>
      <c r="G368" s="41">
        <v>1.5814077010496721</v>
      </c>
      <c r="H368" s="41">
        <v>2.3563054219220079</v>
      </c>
      <c r="I368" s="41">
        <v>1.5472387920586488</v>
      </c>
      <c r="J368" s="41">
        <v>0</v>
      </c>
      <c r="K368" s="41">
        <v>0.65</v>
      </c>
      <c r="L368" s="41">
        <v>132.9</v>
      </c>
      <c r="M368" s="41">
        <v>0</v>
      </c>
      <c r="N368" s="41">
        <v>3.82</v>
      </c>
      <c r="O368" s="41">
        <v>1.6140000000000001</v>
      </c>
    </row>
    <row r="369" spans="1:15">
      <c r="A369" t="s">
        <v>285</v>
      </c>
      <c r="B369" t="s">
        <v>339</v>
      </c>
      <c r="C369" t="s">
        <v>148</v>
      </c>
      <c r="D369" t="s">
        <v>148</v>
      </c>
      <c r="E369" t="s">
        <v>331</v>
      </c>
      <c r="F369" s="41">
        <v>0.16245762882815201</v>
      </c>
      <c r="G369" s="41">
        <v>3.9690064439755925</v>
      </c>
      <c r="H369" s="41">
        <v>3.145214398891226</v>
      </c>
      <c r="I369" s="41">
        <v>1.2251359168416596</v>
      </c>
      <c r="J369" s="41">
        <v>0</v>
      </c>
      <c r="K369" s="41">
        <v>0.67</v>
      </c>
      <c r="L369" s="41">
        <v>107.9</v>
      </c>
      <c r="M369" s="41">
        <v>0</v>
      </c>
      <c r="N369" s="41">
        <v>3.73</v>
      </c>
      <c r="O369" s="41">
        <v>2.548</v>
      </c>
    </row>
    <row r="370" spans="1:15">
      <c r="A370" t="s">
        <v>286</v>
      </c>
      <c r="B370" t="s">
        <v>339</v>
      </c>
      <c r="C370" t="s">
        <v>148</v>
      </c>
      <c r="D370" t="s">
        <v>148</v>
      </c>
      <c r="E370" t="s">
        <v>331</v>
      </c>
      <c r="F370" s="41">
        <v>0.23859883592528636</v>
      </c>
      <c r="G370" s="41">
        <v>2.7588368899056106</v>
      </c>
      <c r="H370" s="41">
        <v>3.724223154241233</v>
      </c>
      <c r="I370" s="41">
        <v>1.2795222449111845</v>
      </c>
      <c r="J370" s="41">
        <v>0</v>
      </c>
      <c r="K370" s="41">
        <v>0.59</v>
      </c>
      <c r="L370" s="41">
        <v>173.1</v>
      </c>
      <c r="M370" s="41">
        <v>0</v>
      </c>
      <c r="N370" s="41">
        <v>4.03</v>
      </c>
      <c r="O370" s="41">
        <v>2.1859999999999999</v>
      </c>
    </row>
    <row r="371" spans="1:15">
      <c r="A371" t="s">
        <v>287</v>
      </c>
      <c r="B371" t="s">
        <v>339</v>
      </c>
      <c r="C371" t="s">
        <v>152</v>
      </c>
      <c r="D371" t="s">
        <v>323</v>
      </c>
      <c r="E371" t="s">
        <v>331</v>
      </c>
      <c r="F371" s="41">
        <v>0.21205891845738364</v>
      </c>
      <c r="G371" s="41">
        <v>2.4082137985240761</v>
      </c>
      <c r="H371" s="41">
        <v>3.5922074170138907</v>
      </c>
      <c r="I371" s="41">
        <v>2.3487190896593941</v>
      </c>
      <c r="J371" s="41">
        <v>0</v>
      </c>
      <c r="K371" s="41">
        <v>0.47</v>
      </c>
      <c r="L371" s="41">
        <v>141.9</v>
      </c>
      <c r="M371" s="41">
        <v>1.2</v>
      </c>
      <c r="N371" s="41">
        <v>4.04</v>
      </c>
      <c r="O371" s="41">
        <v>1.9079999999999999</v>
      </c>
    </row>
    <row r="372" spans="1:15">
      <c r="A372" t="s">
        <v>288</v>
      </c>
      <c r="B372" t="s">
        <v>339</v>
      </c>
      <c r="C372" t="s">
        <v>152</v>
      </c>
      <c r="D372" t="s">
        <v>323</v>
      </c>
      <c r="E372" t="s">
        <v>331</v>
      </c>
      <c r="F372" s="41">
        <v>0.37875159508146261</v>
      </c>
      <c r="G372" s="41">
        <v>2.7473481243336817</v>
      </c>
      <c r="H372" s="41">
        <v>3.5986956571255408</v>
      </c>
      <c r="I372" s="41">
        <v>1.77031678678335</v>
      </c>
      <c r="J372" s="41">
        <v>0</v>
      </c>
      <c r="K372" s="41">
        <v>0.8</v>
      </c>
      <c r="L372" s="41">
        <v>109.6</v>
      </c>
      <c r="M372" s="41">
        <v>2.16</v>
      </c>
      <c r="N372" s="41">
        <v>3.87</v>
      </c>
      <c r="O372" s="41">
        <v>2.5510000000000002</v>
      </c>
    </row>
    <row r="373" spans="1:15">
      <c r="A373" t="s">
        <v>289</v>
      </c>
      <c r="B373" t="s">
        <v>339</v>
      </c>
      <c r="C373" t="s">
        <v>152</v>
      </c>
      <c r="D373" t="s">
        <v>323</v>
      </c>
      <c r="E373" t="s">
        <v>331</v>
      </c>
      <c r="F373" s="41">
        <v>0.22763211135051101</v>
      </c>
      <c r="G373" s="41">
        <v>2.7767962965686914</v>
      </c>
      <c r="H373" s="41">
        <v>3.5564282185422318</v>
      </c>
      <c r="I373" s="41">
        <v>2.2295577490772365</v>
      </c>
      <c r="J373" s="41">
        <v>0</v>
      </c>
      <c r="K373" s="41">
        <v>0.6</v>
      </c>
      <c r="L373" s="41">
        <v>155.30000000000001</v>
      </c>
      <c r="M373" s="41">
        <v>2.12</v>
      </c>
      <c r="N373" s="41">
        <v>3.94</v>
      </c>
      <c r="O373" s="41">
        <v>2.3410000000000002</v>
      </c>
    </row>
    <row r="374" spans="1:15">
      <c r="A374" t="s">
        <v>290</v>
      </c>
      <c r="B374" t="s">
        <v>339</v>
      </c>
      <c r="C374" t="s">
        <v>156</v>
      </c>
      <c r="D374" t="s">
        <v>156</v>
      </c>
      <c r="E374" t="s">
        <v>331</v>
      </c>
      <c r="F374" s="41">
        <v>0.33827529653994698</v>
      </c>
      <c r="G374" s="41">
        <v>4.6893606963535515</v>
      </c>
      <c r="H374" s="41">
        <v>3.2278791864630199</v>
      </c>
      <c r="I374" s="41">
        <v>2.2626346049110189</v>
      </c>
      <c r="J374" s="41">
        <v>2.72</v>
      </c>
      <c r="K374" s="41">
        <v>3.1</v>
      </c>
      <c r="L374" s="41">
        <v>108</v>
      </c>
      <c r="M374" s="41">
        <v>2.42</v>
      </c>
      <c r="N374" s="41">
        <v>3.59</v>
      </c>
      <c r="O374" s="41">
        <v>6.7130000000000001</v>
      </c>
    </row>
    <row r="375" spans="1:15">
      <c r="A375" t="s">
        <v>291</v>
      </c>
      <c r="B375" t="s">
        <v>339</v>
      </c>
      <c r="C375" t="s">
        <v>156</v>
      </c>
      <c r="D375" t="s">
        <v>156</v>
      </c>
      <c r="E375" t="s">
        <v>331</v>
      </c>
      <c r="F375" s="41">
        <v>0.45957184692087111</v>
      </c>
      <c r="G375" s="41">
        <v>4.1970835926123229</v>
      </c>
      <c r="H375" s="41">
        <v>3.4943984241436779</v>
      </c>
      <c r="I375" s="41">
        <v>2.3369368012056246</v>
      </c>
      <c r="J375" s="41">
        <v>2.72</v>
      </c>
      <c r="K375" s="41">
        <v>2.9</v>
      </c>
      <c r="L375" s="41">
        <v>115.4</v>
      </c>
      <c r="M375" s="41">
        <v>2.41</v>
      </c>
      <c r="N375" s="41">
        <v>3.68</v>
      </c>
      <c r="O375" s="41">
        <v>5.7859999999999996</v>
      </c>
    </row>
    <row r="376" spans="1:15">
      <c r="A376" t="s">
        <v>292</v>
      </c>
      <c r="B376" t="s">
        <v>339</v>
      </c>
      <c r="C376" t="s">
        <v>156</v>
      </c>
      <c r="D376" t="s">
        <v>156</v>
      </c>
      <c r="E376" t="s">
        <v>331</v>
      </c>
      <c r="F376" s="41">
        <v>0.44952300064864037</v>
      </c>
      <c r="G376" s="41">
        <v>4.3977541024704676</v>
      </c>
      <c r="H376" s="41">
        <v>4.1022618191746965</v>
      </c>
      <c r="I376" s="41">
        <v>2.1198818586810098</v>
      </c>
      <c r="J376" s="41">
        <v>2.42</v>
      </c>
      <c r="K376" s="41">
        <v>3.15</v>
      </c>
      <c r="L376" s="41">
        <v>145.80000000000001</v>
      </c>
      <c r="M376" s="41">
        <v>2.8</v>
      </c>
      <c r="N376" s="41">
        <v>3.63</v>
      </c>
      <c r="O376" s="41">
        <v>6.4980000000000002</v>
      </c>
    </row>
    <row r="377" spans="1:15">
      <c r="A377" t="s">
        <v>293</v>
      </c>
      <c r="B377" t="s">
        <v>339</v>
      </c>
      <c r="C377" t="s">
        <v>160</v>
      </c>
      <c r="D377" t="s">
        <v>160</v>
      </c>
      <c r="E377" t="s">
        <v>331</v>
      </c>
      <c r="F377" s="41">
        <v>0.3128052409446847</v>
      </c>
      <c r="G377" s="41">
        <v>2.1978472062782077</v>
      </c>
      <c r="H377" s="41">
        <v>3.8753387683115519</v>
      </c>
      <c r="I377" s="41">
        <v>2.2833001873792687</v>
      </c>
      <c r="J377" s="41">
        <v>0</v>
      </c>
      <c r="K377" s="41">
        <v>0.63</v>
      </c>
      <c r="L377" s="41">
        <v>149.5</v>
      </c>
      <c r="M377" s="41">
        <v>4.29</v>
      </c>
      <c r="N377" s="41">
        <v>4.0599999999999996</v>
      </c>
      <c r="O377" s="41">
        <v>2.0219999999999998</v>
      </c>
    </row>
    <row r="378" spans="1:15">
      <c r="A378" t="s">
        <v>294</v>
      </c>
      <c r="B378" t="s">
        <v>339</v>
      </c>
      <c r="C378" t="s">
        <v>160</v>
      </c>
      <c r="D378" t="s">
        <v>160</v>
      </c>
      <c r="E378" t="s">
        <v>331</v>
      </c>
      <c r="F378" s="41">
        <v>0.22905802462051059</v>
      </c>
      <c r="G378" s="41">
        <v>2.2912488304465692</v>
      </c>
      <c r="H378" s="41">
        <v>3.7661790890243774</v>
      </c>
      <c r="I378" s="41">
        <v>2.0687865227564468</v>
      </c>
      <c r="J378" s="41">
        <v>0</v>
      </c>
      <c r="K378" s="41">
        <v>0.64</v>
      </c>
      <c r="L378" s="41">
        <v>148.80000000000001</v>
      </c>
      <c r="M378" s="41">
        <v>4.16</v>
      </c>
      <c r="N378" s="41">
        <v>3.93</v>
      </c>
      <c r="O378" s="41">
        <v>1.903</v>
      </c>
    </row>
    <row r="379" spans="1:15">
      <c r="A379" t="s">
        <v>295</v>
      </c>
      <c r="B379" t="s">
        <v>339</v>
      </c>
      <c r="C379" t="s">
        <v>160</v>
      </c>
      <c r="D379" t="s">
        <v>160</v>
      </c>
      <c r="E379" t="s">
        <v>331</v>
      </c>
      <c r="F379" s="41">
        <v>0.23437403421273667</v>
      </c>
      <c r="G379" s="41">
        <v>2.1429928096846376</v>
      </c>
      <c r="H379" s="41">
        <v>3.5583004417247288</v>
      </c>
      <c r="I379" s="41">
        <v>2.0868899605248825</v>
      </c>
      <c r="J379" s="41">
        <v>0</v>
      </c>
      <c r="K379" s="41">
        <v>0.71</v>
      </c>
      <c r="L379" s="41">
        <v>139.80000000000001</v>
      </c>
      <c r="M379" s="41">
        <v>5.12</v>
      </c>
      <c r="N379" s="41">
        <v>4.18</v>
      </c>
      <c r="O379" s="41">
        <v>1.9970000000000001</v>
      </c>
    </row>
    <row r="380" spans="1:15">
      <c r="A380" t="s">
        <v>296</v>
      </c>
      <c r="B380" t="s">
        <v>339</v>
      </c>
      <c r="C380" t="s">
        <v>164</v>
      </c>
      <c r="D380" t="s">
        <v>320</v>
      </c>
      <c r="E380" t="s">
        <v>335</v>
      </c>
      <c r="F380" s="41">
        <v>0.71022690762004625</v>
      </c>
      <c r="G380" s="41">
        <v>3.756419423764302</v>
      </c>
      <c r="H380" s="41">
        <v>5.1986165125558026</v>
      </c>
      <c r="I380" s="41">
        <v>1.9770993027395427</v>
      </c>
      <c r="J380" s="41">
        <v>1.81</v>
      </c>
      <c r="K380" s="41">
        <v>0.57999999999999996</v>
      </c>
      <c r="L380" s="41">
        <v>190.6</v>
      </c>
      <c r="M380" s="41">
        <v>2.15</v>
      </c>
      <c r="N380" s="41">
        <v>3.59</v>
      </c>
      <c r="O380" s="41">
        <v>3.0030000000000001</v>
      </c>
    </row>
    <row r="381" spans="1:15">
      <c r="A381" t="s">
        <v>297</v>
      </c>
      <c r="B381" t="s">
        <v>339</v>
      </c>
      <c r="C381" t="s">
        <v>164</v>
      </c>
      <c r="D381" t="s">
        <v>320</v>
      </c>
      <c r="E381" t="s">
        <v>335</v>
      </c>
      <c r="F381" s="41">
        <v>0.76638398293015031</v>
      </c>
      <c r="G381" s="41">
        <v>3.711956395082983</v>
      </c>
      <c r="H381" s="41">
        <v>4.9921705693781435</v>
      </c>
      <c r="I381" s="41">
        <v>1.8956546995796031</v>
      </c>
      <c r="J381" s="41">
        <v>1.62</v>
      </c>
      <c r="K381" s="41">
        <v>0.54</v>
      </c>
      <c r="L381" s="41">
        <v>219.7</v>
      </c>
      <c r="M381" s="41">
        <v>1.93</v>
      </c>
      <c r="N381" s="41">
        <v>3.45</v>
      </c>
      <c r="O381" s="41">
        <v>2.9350000000000001</v>
      </c>
    </row>
    <row r="382" spans="1:15">
      <c r="A382" t="s">
        <v>298</v>
      </c>
      <c r="B382" t="s">
        <v>339</v>
      </c>
      <c r="C382" t="s">
        <v>164</v>
      </c>
      <c r="D382" t="s">
        <v>320</v>
      </c>
      <c r="E382" t="s">
        <v>335</v>
      </c>
      <c r="F382" s="41">
        <v>0.94797617246530297</v>
      </c>
      <c r="G382" s="41">
        <v>3.6613329871305953</v>
      </c>
      <c r="H382" s="41">
        <v>5.351431529207157</v>
      </c>
      <c r="I382" s="41">
        <v>1.3000179120241235</v>
      </c>
      <c r="J382" s="41">
        <v>1.36</v>
      </c>
      <c r="K382" s="41">
        <v>0.37</v>
      </c>
      <c r="L382" s="41">
        <v>198.1</v>
      </c>
      <c r="M382" s="41">
        <v>1.67</v>
      </c>
      <c r="N382" s="41">
        <v>3.51</v>
      </c>
      <c r="O382" s="41">
        <v>2.7959999999999998</v>
      </c>
    </row>
    <row r="383" spans="1:15">
      <c r="A383" t="s">
        <v>299</v>
      </c>
      <c r="B383" t="s">
        <v>339</v>
      </c>
      <c r="C383" t="s">
        <v>168</v>
      </c>
      <c r="D383" t="s">
        <v>320</v>
      </c>
      <c r="E383" t="s">
        <v>335</v>
      </c>
      <c r="F383" s="41">
        <v>0.80276953268330176</v>
      </c>
      <c r="G383" s="41">
        <v>3.1852172667336474</v>
      </c>
      <c r="H383" s="41">
        <v>4.8414112644491096</v>
      </c>
      <c r="I383" s="41">
        <v>2.1906352088265426</v>
      </c>
      <c r="J383" s="41">
        <v>1.28</v>
      </c>
      <c r="K383" s="41">
        <v>0.42</v>
      </c>
      <c r="L383" s="41">
        <v>201.8</v>
      </c>
      <c r="M383" s="41">
        <v>1.51</v>
      </c>
      <c r="N383" s="41">
        <v>4.54</v>
      </c>
      <c r="O383" s="41">
        <v>2.5539999999999998</v>
      </c>
    </row>
    <row r="384" spans="1:15">
      <c r="A384" t="s">
        <v>300</v>
      </c>
      <c r="B384" t="s">
        <v>339</v>
      </c>
      <c r="C384" t="s">
        <v>168</v>
      </c>
      <c r="D384" t="s">
        <v>320</v>
      </c>
      <c r="E384" t="s">
        <v>335</v>
      </c>
      <c r="F384" s="41">
        <v>0.72680080132301761</v>
      </c>
      <c r="G384" s="41">
        <v>3.2052497136472731</v>
      </c>
      <c r="H384" s="41">
        <v>4.5931576708315349</v>
      </c>
      <c r="I384" s="41">
        <v>2.2667483450922212</v>
      </c>
      <c r="J384" s="41">
        <v>1.68</v>
      </c>
      <c r="K384" s="41">
        <v>0.59</v>
      </c>
      <c r="L384" s="41">
        <v>185.1</v>
      </c>
      <c r="M384" s="41">
        <v>1.47</v>
      </c>
      <c r="N384" s="41">
        <v>3.52</v>
      </c>
      <c r="O384" s="41">
        <v>2.996</v>
      </c>
    </row>
    <row r="385" spans="1:15">
      <c r="A385" t="s">
        <v>301</v>
      </c>
      <c r="B385" t="s">
        <v>339</v>
      </c>
      <c r="C385" t="s">
        <v>168</v>
      </c>
      <c r="D385" t="s">
        <v>320</v>
      </c>
      <c r="E385" t="s">
        <v>335</v>
      </c>
      <c r="F385" s="41">
        <v>0.75771323487215869</v>
      </c>
      <c r="G385" s="41">
        <v>3.6038421660864999</v>
      </c>
      <c r="H385" s="41">
        <v>4.4565493861394359</v>
      </c>
      <c r="I385" s="41">
        <v>2.5307878643313426</v>
      </c>
      <c r="J385" s="41">
        <v>1.34</v>
      </c>
      <c r="K385" s="41">
        <v>0.59</v>
      </c>
      <c r="L385" s="41">
        <v>164.6</v>
      </c>
      <c r="M385" s="41">
        <v>1.37</v>
      </c>
      <c r="N385" s="41">
        <v>3.41</v>
      </c>
      <c r="O385" s="41">
        <v>2.9649999999999999</v>
      </c>
    </row>
    <row r="386" spans="1:15">
      <c r="A386" t="s">
        <v>302</v>
      </c>
      <c r="B386" t="s">
        <v>339</v>
      </c>
      <c r="C386" t="s">
        <v>172</v>
      </c>
      <c r="D386" t="s">
        <v>320</v>
      </c>
      <c r="E386" t="s">
        <v>335</v>
      </c>
      <c r="F386" s="41">
        <v>0.71948936699307364</v>
      </c>
      <c r="G386" s="41">
        <v>4.1864022553914575</v>
      </c>
      <c r="H386" s="41">
        <v>4.5031330725839318</v>
      </c>
      <c r="I386" s="41">
        <v>2.3171103621149176</v>
      </c>
      <c r="J386" s="41">
        <v>1.91</v>
      </c>
      <c r="K386" s="41">
        <v>0.63</v>
      </c>
      <c r="L386" s="41">
        <v>186</v>
      </c>
      <c r="M386" s="41">
        <v>2.14</v>
      </c>
      <c r="N386" s="41">
        <v>3.48</v>
      </c>
      <c r="O386" s="41">
        <v>3.2010000000000001</v>
      </c>
    </row>
    <row r="387" spans="1:15">
      <c r="A387" t="s">
        <v>303</v>
      </c>
      <c r="B387" t="s">
        <v>339</v>
      </c>
      <c r="C387" t="s">
        <v>172</v>
      </c>
      <c r="D387" t="s">
        <v>320</v>
      </c>
      <c r="E387" t="s">
        <v>335</v>
      </c>
      <c r="F387" s="41">
        <v>0.62168367043504114</v>
      </c>
      <c r="G387" s="41">
        <v>3.7611401027480267</v>
      </c>
      <c r="H387" s="41">
        <v>4.0973172297439993</v>
      </c>
      <c r="I387" s="41">
        <v>2.3132872666204309</v>
      </c>
      <c r="J387" s="41">
        <v>1.62</v>
      </c>
      <c r="K387" s="41">
        <v>0.48</v>
      </c>
      <c r="L387" s="41">
        <v>165.6</v>
      </c>
      <c r="M387" s="41">
        <v>1.2</v>
      </c>
      <c r="N387" s="41">
        <v>3.4</v>
      </c>
      <c r="O387" s="41">
        <v>2.976</v>
      </c>
    </row>
    <row r="388" spans="1:15">
      <c r="A388" t="s">
        <v>304</v>
      </c>
      <c r="B388" t="s">
        <v>339</v>
      </c>
      <c r="C388" t="s">
        <v>172</v>
      </c>
      <c r="D388" t="s">
        <v>320</v>
      </c>
      <c r="E388" t="s">
        <v>335</v>
      </c>
      <c r="F388" s="41">
        <v>0.7684314919250359</v>
      </c>
      <c r="G388" s="41">
        <v>3.7642128161951249</v>
      </c>
      <c r="H388" s="41">
        <v>4.4516592031943842</v>
      </c>
      <c r="I388" s="41">
        <v>1.6152228200097343</v>
      </c>
      <c r="J388" s="41">
        <v>1.08</v>
      </c>
      <c r="K388" s="41">
        <v>0.41</v>
      </c>
      <c r="L388" s="41">
        <v>177.1</v>
      </c>
      <c r="M388" s="41">
        <v>1.1000000000000001</v>
      </c>
      <c r="N388" s="41">
        <v>3.52</v>
      </c>
      <c r="O388" s="41">
        <v>2.657</v>
      </c>
    </row>
    <row r="389" spans="1:15">
      <c r="A389" t="s">
        <v>305</v>
      </c>
      <c r="B389" t="s">
        <v>339</v>
      </c>
      <c r="C389" t="s">
        <v>176</v>
      </c>
      <c r="D389" t="s">
        <v>320</v>
      </c>
      <c r="E389" t="s">
        <v>336</v>
      </c>
      <c r="F389" s="41">
        <v>0.40266253832282117</v>
      </c>
      <c r="G389" s="41">
        <v>2.4743043723231377</v>
      </c>
      <c r="H389" s="41">
        <v>4.4018740684475111</v>
      </c>
      <c r="I389" s="41">
        <v>2.1149826326028895</v>
      </c>
      <c r="J389" s="41">
        <v>0</v>
      </c>
      <c r="K389" s="41">
        <v>0.26</v>
      </c>
      <c r="L389" s="41">
        <v>183.5</v>
      </c>
      <c r="M389" s="41">
        <v>1.08</v>
      </c>
      <c r="N389" s="41">
        <v>4.1100000000000003</v>
      </c>
      <c r="O389" s="41">
        <v>1.647</v>
      </c>
    </row>
    <row r="390" spans="1:15">
      <c r="A390" t="s">
        <v>306</v>
      </c>
      <c r="B390" t="s">
        <v>339</v>
      </c>
      <c r="C390" t="s">
        <v>176</v>
      </c>
      <c r="D390" t="s">
        <v>320</v>
      </c>
      <c r="E390" t="s">
        <v>336</v>
      </c>
      <c r="F390" s="41" t="e">
        <v>#VALUE!</v>
      </c>
      <c r="G390" s="41" t="e">
        <v>#VALUE!</v>
      </c>
      <c r="H390" s="41" t="e">
        <v>#VALUE!</v>
      </c>
      <c r="I390" s="41" t="e">
        <v>#VALUE!</v>
      </c>
      <c r="J390" s="41">
        <v>0</v>
      </c>
      <c r="K390" s="41">
        <v>0.37</v>
      </c>
      <c r="L390" s="41">
        <v>176.5</v>
      </c>
      <c r="M390" s="41">
        <v>0.35</v>
      </c>
      <c r="N390" s="41">
        <v>4.08</v>
      </c>
      <c r="O390" s="41">
        <v>1.8080000000000001</v>
      </c>
    </row>
    <row r="391" spans="1:15">
      <c r="A391" t="s">
        <v>307</v>
      </c>
      <c r="B391" t="s">
        <v>339</v>
      </c>
      <c r="C391" t="s">
        <v>176</v>
      </c>
      <c r="D391" t="s">
        <v>320</v>
      </c>
      <c r="E391" t="s">
        <v>336</v>
      </c>
      <c r="F391" s="41" t="e">
        <v>#VALUE!</v>
      </c>
      <c r="G391" s="41" t="e">
        <v>#VALUE!</v>
      </c>
      <c r="H391" s="41" t="e">
        <v>#VALUE!</v>
      </c>
      <c r="I391" s="41" t="e">
        <v>#VALUE!</v>
      </c>
      <c r="J391" s="41">
        <v>0</v>
      </c>
      <c r="K391" s="41">
        <v>0.34</v>
      </c>
      <c r="L391" s="41">
        <v>176</v>
      </c>
      <c r="M391" s="41">
        <v>0.39</v>
      </c>
      <c r="N391" s="41">
        <v>3.99</v>
      </c>
      <c r="O391" s="41">
        <v>1.641</v>
      </c>
    </row>
    <row r="392" spans="1:15">
      <c r="A392" t="s">
        <v>308</v>
      </c>
      <c r="B392" t="s">
        <v>339</v>
      </c>
      <c r="C392" t="s">
        <v>180</v>
      </c>
      <c r="D392" t="s">
        <v>320</v>
      </c>
      <c r="E392" t="s">
        <v>336</v>
      </c>
      <c r="F392" s="41">
        <v>0.4294867846044424</v>
      </c>
      <c r="G392" s="41">
        <v>2.9640764189249249</v>
      </c>
      <c r="H392" s="41">
        <v>4.8629871697858613</v>
      </c>
      <c r="I392" s="41">
        <v>1.0062402246345139</v>
      </c>
      <c r="J392" s="41">
        <v>0</v>
      </c>
      <c r="K392" s="41">
        <v>0.41</v>
      </c>
      <c r="L392" s="41">
        <v>202.2</v>
      </c>
      <c r="M392" s="41">
        <v>0.44</v>
      </c>
      <c r="N392" s="41">
        <v>3.85</v>
      </c>
      <c r="O392" s="41">
        <v>1.74</v>
      </c>
    </row>
    <row r="393" spans="1:15">
      <c r="A393" t="s">
        <v>309</v>
      </c>
      <c r="B393" t="s">
        <v>339</v>
      </c>
      <c r="C393" t="s">
        <v>180</v>
      </c>
      <c r="D393" t="s">
        <v>320</v>
      </c>
      <c r="E393" t="s">
        <v>336</v>
      </c>
      <c r="F393" s="41">
        <v>0.46688328125081519</v>
      </c>
      <c r="G393" s="41">
        <v>2.8925559962676615</v>
      </c>
      <c r="H393" s="41">
        <v>4.7676499382340776</v>
      </c>
      <c r="I393" s="41">
        <v>2.356678282618677</v>
      </c>
      <c r="J393" s="41">
        <v>0</v>
      </c>
      <c r="K393" s="41">
        <v>0.37</v>
      </c>
      <c r="L393" s="41">
        <v>203.7</v>
      </c>
      <c r="M393" s="41">
        <v>0.83</v>
      </c>
      <c r="N393" s="41">
        <v>4.07</v>
      </c>
      <c r="O393" s="41">
        <v>1.5249999999999999</v>
      </c>
    </row>
    <row r="394" spans="1:15">
      <c r="A394" t="s">
        <v>310</v>
      </c>
      <c r="B394" t="s">
        <v>339</v>
      </c>
      <c r="C394" t="s">
        <v>180</v>
      </c>
      <c r="D394" t="s">
        <v>320</v>
      </c>
      <c r="E394" t="s">
        <v>336</v>
      </c>
      <c r="F394" s="41">
        <v>0.3819244655672821</v>
      </c>
      <c r="G394" s="41">
        <v>2.9130007015721739</v>
      </c>
      <c r="H394" s="41">
        <v>4.6832633454106887</v>
      </c>
      <c r="I394" s="41">
        <v>2.3063982423024898</v>
      </c>
      <c r="J394" s="41">
        <v>0</v>
      </c>
      <c r="K394" s="41">
        <v>0.33</v>
      </c>
      <c r="L394" s="41">
        <v>190.4</v>
      </c>
      <c r="M394" s="41">
        <v>0.7</v>
      </c>
      <c r="N394" s="41">
        <v>3.81</v>
      </c>
      <c r="O394" s="41">
        <v>1.633</v>
      </c>
    </row>
    <row r="395" spans="1:15">
      <c r="A395" t="s">
        <v>311</v>
      </c>
      <c r="B395" t="s">
        <v>339</v>
      </c>
      <c r="C395" t="s">
        <v>184</v>
      </c>
      <c r="D395" t="s">
        <v>320</v>
      </c>
      <c r="E395" t="s">
        <v>336</v>
      </c>
      <c r="F395" s="41">
        <v>0.44845826181768861</v>
      </c>
      <c r="G395" s="41">
        <v>2.5716694443893733</v>
      </c>
      <c r="H395" s="41">
        <v>5.2283288544811031</v>
      </c>
      <c r="I395" s="41">
        <v>2.384441557385073</v>
      </c>
      <c r="J395" s="41">
        <v>0</v>
      </c>
      <c r="K395" s="41">
        <v>0.35</v>
      </c>
      <c r="L395" s="41">
        <v>204.6</v>
      </c>
      <c r="M395" s="41">
        <v>7.0000000000000007E-2</v>
      </c>
      <c r="N395" s="41">
        <v>3.93</v>
      </c>
      <c r="O395" s="41">
        <v>1.583</v>
      </c>
    </row>
    <row r="396" spans="1:15">
      <c r="A396" t="s">
        <v>312</v>
      </c>
      <c r="B396" t="s">
        <v>339</v>
      </c>
      <c r="C396" t="s">
        <v>184</v>
      </c>
      <c r="D396" t="s">
        <v>320</v>
      </c>
      <c r="E396" t="s">
        <v>336</v>
      </c>
      <c r="F396" s="41">
        <v>0.49393550288757998</v>
      </c>
      <c r="G396" s="41">
        <v>2.9101063486206145</v>
      </c>
      <c r="H396" s="41">
        <v>5.1123544961684075</v>
      </c>
      <c r="I396" s="41">
        <v>2.6682881394024545</v>
      </c>
      <c r="J396" s="41">
        <v>0</v>
      </c>
      <c r="K396" s="41">
        <v>0.34</v>
      </c>
      <c r="L396" s="41">
        <v>221.7</v>
      </c>
      <c r="M396" s="41">
        <v>0.05</v>
      </c>
      <c r="N396" s="41">
        <v>3.96</v>
      </c>
      <c r="O396" s="41">
        <v>2.004</v>
      </c>
    </row>
    <row r="397" spans="1:15">
      <c r="A397" t="s">
        <v>313</v>
      </c>
      <c r="B397" t="s">
        <v>339</v>
      </c>
      <c r="C397" t="s">
        <v>184</v>
      </c>
      <c r="D397" t="s">
        <v>320</v>
      </c>
      <c r="E397" t="s">
        <v>336</v>
      </c>
      <c r="F397" s="41">
        <v>0.48979437752261112</v>
      </c>
      <c r="G397" s="41">
        <v>3.0559673190158034</v>
      </c>
      <c r="H397" s="41">
        <v>4.9025054806533328</v>
      </c>
      <c r="I397" s="41">
        <v>3.1565563082285557</v>
      </c>
      <c r="J397" s="41">
        <v>0</v>
      </c>
      <c r="K397" s="41">
        <v>0.43</v>
      </c>
      <c r="L397" s="41">
        <v>203.8</v>
      </c>
      <c r="M397" s="41">
        <v>0</v>
      </c>
      <c r="N397" s="41">
        <v>4.0199999999999996</v>
      </c>
      <c r="O397" s="41">
        <v>1.915</v>
      </c>
    </row>
    <row r="398" spans="1:15">
      <c r="A398" t="s">
        <v>296</v>
      </c>
      <c r="B398" t="s">
        <v>339</v>
      </c>
      <c r="C398" t="s">
        <v>164</v>
      </c>
      <c r="D398" t="s">
        <v>132</v>
      </c>
      <c r="E398" t="s">
        <v>335</v>
      </c>
      <c r="F398" s="41">
        <v>0.71022690762004625</v>
      </c>
      <c r="G398" s="41">
        <v>3.756419423764302</v>
      </c>
      <c r="H398" s="41">
        <v>5.1986165125558026</v>
      </c>
      <c r="I398" s="41">
        <v>1.9770993027395427</v>
      </c>
      <c r="J398" s="41">
        <v>1.81</v>
      </c>
      <c r="K398" s="41">
        <v>0.57999999999999996</v>
      </c>
      <c r="L398" s="41">
        <v>190.6</v>
      </c>
      <c r="M398" s="41">
        <v>2.15</v>
      </c>
      <c r="N398" s="41">
        <v>3.59</v>
      </c>
      <c r="O398" s="41">
        <v>3.0030000000000001</v>
      </c>
    </row>
    <row r="399" spans="1:15">
      <c r="A399" t="s">
        <v>297</v>
      </c>
      <c r="B399" t="s">
        <v>339</v>
      </c>
      <c r="C399" t="s">
        <v>164</v>
      </c>
      <c r="D399" t="s">
        <v>132</v>
      </c>
      <c r="E399" t="s">
        <v>335</v>
      </c>
      <c r="F399" s="41">
        <v>0.76638398293015031</v>
      </c>
      <c r="G399" s="41">
        <v>3.711956395082983</v>
      </c>
      <c r="H399" s="41">
        <v>4.9921705693781435</v>
      </c>
      <c r="I399" s="41">
        <v>1.8956546995796031</v>
      </c>
      <c r="J399" s="41">
        <v>1.62</v>
      </c>
      <c r="K399" s="41">
        <v>0.54</v>
      </c>
      <c r="L399" s="41">
        <v>219.7</v>
      </c>
      <c r="M399" s="41">
        <v>1.93</v>
      </c>
      <c r="N399" s="41">
        <v>3.45</v>
      </c>
      <c r="O399" s="41">
        <v>2.9350000000000001</v>
      </c>
    </row>
    <row r="400" spans="1:15">
      <c r="A400" t="s">
        <v>298</v>
      </c>
      <c r="B400" t="s">
        <v>339</v>
      </c>
      <c r="C400" t="s">
        <v>164</v>
      </c>
      <c r="D400" t="s">
        <v>132</v>
      </c>
      <c r="E400" t="s">
        <v>335</v>
      </c>
      <c r="F400" s="41">
        <v>0.94797617246530297</v>
      </c>
      <c r="G400" s="41">
        <v>3.6613329871305953</v>
      </c>
      <c r="H400" s="41">
        <v>5.351431529207157</v>
      </c>
      <c r="I400" s="41">
        <v>1.3000179120241235</v>
      </c>
      <c r="J400" s="41">
        <v>1.36</v>
      </c>
      <c r="K400" s="41">
        <v>0.37</v>
      </c>
      <c r="L400" s="41">
        <v>198.1</v>
      </c>
      <c r="M400" s="41">
        <v>1.67</v>
      </c>
      <c r="N400" s="41">
        <v>3.51</v>
      </c>
      <c r="O400" s="41">
        <v>2.7959999999999998</v>
      </c>
    </row>
    <row r="401" spans="1:15">
      <c r="A401" t="s">
        <v>299</v>
      </c>
      <c r="B401" t="s">
        <v>339</v>
      </c>
      <c r="C401" t="s">
        <v>168</v>
      </c>
      <c r="D401" t="s">
        <v>132</v>
      </c>
      <c r="E401" t="s">
        <v>335</v>
      </c>
      <c r="F401" s="41">
        <v>0.80276953268330176</v>
      </c>
      <c r="G401" s="41">
        <v>3.1852172667336474</v>
      </c>
      <c r="H401" s="41">
        <v>4.8414112644491096</v>
      </c>
      <c r="I401" s="41">
        <v>2.1906352088265426</v>
      </c>
      <c r="J401" s="41">
        <v>1.28</v>
      </c>
      <c r="K401" s="41">
        <v>0.42</v>
      </c>
      <c r="L401" s="41">
        <v>201.8</v>
      </c>
      <c r="M401" s="41">
        <v>1.51</v>
      </c>
      <c r="N401" s="41">
        <v>4.54</v>
      </c>
      <c r="O401" s="41">
        <v>2.5539999999999998</v>
      </c>
    </row>
    <row r="402" spans="1:15">
      <c r="A402" t="s">
        <v>300</v>
      </c>
      <c r="B402" t="s">
        <v>339</v>
      </c>
      <c r="C402" t="s">
        <v>168</v>
      </c>
      <c r="D402" t="s">
        <v>132</v>
      </c>
      <c r="E402" t="s">
        <v>335</v>
      </c>
      <c r="F402" s="41">
        <v>0.72680080132301761</v>
      </c>
      <c r="G402" s="41">
        <v>3.2052497136472731</v>
      </c>
      <c r="H402" s="41">
        <v>4.5931576708315349</v>
      </c>
      <c r="I402" s="41">
        <v>2.2667483450922212</v>
      </c>
      <c r="J402" s="41">
        <v>1.68</v>
      </c>
      <c r="K402" s="41">
        <v>0.59</v>
      </c>
      <c r="L402" s="41">
        <v>185.1</v>
      </c>
      <c r="M402" s="41">
        <v>1.47</v>
      </c>
      <c r="N402" s="41">
        <v>3.52</v>
      </c>
      <c r="O402" s="41">
        <v>2.996</v>
      </c>
    </row>
    <row r="403" spans="1:15">
      <c r="A403" t="s">
        <v>301</v>
      </c>
      <c r="B403" t="s">
        <v>339</v>
      </c>
      <c r="C403" t="s">
        <v>168</v>
      </c>
      <c r="D403" t="s">
        <v>132</v>
      </c>
      <c r="E403" t="s">
        <v>335</v>
      </c>
      <c r="F403" s="41">
        <v>0.75771323487215869</v>
      </c>
      <c r="G403" s="41">
        <v>3.6038421660864999</v>
      </c>
      <c r="H403" s="41">
        <v>4.4565493861394359</v>
      </c>
      <c r="I403" s="41">
        <v>2.5307878643313426</v>
      </c>
      <c r="J403" s="41">
        <v>1.34</v>
      </c>
      <c r="K403" s="41">
        <v>0.59</v>
      </c>
      <c r="L403" s="41">
        <v>164.6</v>
      </c>
      <c r="M403" s="41">
        <v>1.37</v>
      </c>
      <c r="N403" s="41">
        <v>3.41</v>
      </c>
      <c r="O403" s="41">
        <v>2.9649999999999999</v>
      </c>
    </row>
    <row r="404" spans="1:15">
      <c r="A404" t="s">
        <v>302</v>
      </c>
      <c r="B404" t="s">
        <v>339</v>
      </c>
      <c r="C404" t="s">
        <v>172</v>
      </c>
      <c r="D404" t="s">
        <v>132</v>
      </c>
      <c r="E404" t="s">
        <v>335</v>
      </c>
      <c r="F404" s="41">
        <v>0.71948936699307364</v>
      </c>
      <c r="G404" s="41">
        <v>4.1864022553914575</v>
      </c>
      <c r="H404" s="41">
        <v>4.5031330725839318</v>
      </c>
      <c r="I404" s="41">
        <v>2.3171103621149176</v>
      </c>
      <c r="J404" s="41">
        <v>1.91</v>
      </c>
      <c r="K404" s="41">
        <v>0.63</v>
      </c>
      <c r="L404" s="41">
        <v>186</v>
      </c>
      <c r="M404" s="41">
        <v>2.14</v>
      </c>
      <c r="N404" s="41">
        <v>3.48</v>
      </c>
      <c r="O404" s="41">
        <v>3.2010000000000001</v>
      </c>
    </row>
    <row r="405" spans="1:15">
      <c r="A405" t="s">
        <v>303</v>
      </c>
      <c r="B405" t="s">
        <v>339</v>
      </c>
      <c r="C405" t="s">
        <v>172</v>
      </c>
      <c r="D405" t="s">
        <v>132</v>
      </c>
      <c r="E405" t="s">
        <v>335</v>
      </c>
      <c r="F405" s="41">
        <v>0.62168367043504114</v>
      </c>
      <c r="G405" s="41">
        <v>3.7611401027480267</v>
      </c>
      <c r="H405" s="41">
        <v>4.0973172297439993</v>
      </c>
      <c r="I405" s="41">
        <v>2.3132872666204309</v>
      </c>
      <c r="J405" s="41">
        <v>1.62</v>
      </c>
      <c r="K405" s="41">
        <v>0.48</v>
      </c>
      <c r="L405" s="41">
        <v>165.6</v>
      </c>
      <c r="M405" s="41">
        <v>1.2</v>
      </c>
      <c r="N405" s="41">
        <v>3.4</v>
      </c>
      <c r="O405" s="41">
        <v>2.976</v>
      </c>
    </row>
    <row r="406" spans="1:15">
      <c r="A406" t="s">
        <v>304</v>
      </c>
      <c r="B406" t="s">
        <v>339</v>
      </c>
      <c r="C406" t="s">
        <v>172</v>
      </c>
      <c r="D406" t="s">
        <v>132</v>
      </c>
      <c r="E406" t="s">
        <v>335</v>
      </c>
      <c r="F406" s="41">
        <v>0.7684314919250359</v>
      </c>
      <c r="G406" s="41">
        <v>3.7642128161951249</v>
      </c>
      <c r="H406" s="41">
        <v>4.4516592031943842</v>
      </c>
      <c r="I406" s="41">
        <v>1.6152228200097343</v>
      </c>
      <c r="J406" s="41">
        <v>1.08</v>
      </c>
      <c r="K406" s="41">
        <v>0.41</v>
      </c>
      <c r="L406" s="41">
        <v>177.1</v>
      </c>
      <c r="M406" s="41">
        <v>1.1000000000000001</v>
      </c>
      <c r="N406" s="41">
        <v>3.52</v>
      </c>
      <c r="O406" s="41">
        <v>2.657</v>
      </c>
    </row>
    <row r="407" spans="1:15">
      <c r="A407" t="s">
        <v>305</v>
      </c>
      <c r="B407" t="s">
        <v>339</v>
      </c>
      <c r="C407" t="s">
        <v>176</v>
      </c>
      <c r="D407" t="s">
        <v>132</v>
      </c>
      <c r="E407" t="s">
        <v>336</v>
      </c>
      <c r="F407" s="41">
        <v>0.40266253832282117</v>
      </c>
      <c r="G407" s="41">
        <v>2.4743043723231377</v>
      </c>
      <c r="H407" s="41">
        <v>4.4018740684475111</v>
      </c>
      <c r="I407" s="41">
        <v>2.1149826326028895</v>
      </c>
      <c r="J407" s="41">
        <v>0</v>
      </c>
      <c r="K407" s="41">
        <v>0.26</v>
      </c>
      <c r="L407" s="41">
        <v>183.5</v>
      </c>
      <c r="M407" s="41">
        <v>1.08</v>
      </c>
      <c r="N407" s="41">
        <v>4.1100000000000003</v>
      </c>
      <c r="O407" s="41">
        <v>1.647</v>
      </c>
    </row>
    <row r="408" spans="1:15">
      <c r="A408" t="s">
        <v>306</v>
      </c>
      <c r="B408" t="s">
        <v>339</v>
      </c>
      <c r="C408" t="s">
        <v>176</v>
      </c>
      <c r="D408" t="s">
        <v>132</v>
      </c>
      <c r="E408" t="s">
        <v>336</v>
      </c>
      <c r="F408" s="41" t="e">
        <v>#VALUE!</v>
      </c>
      <c r="G408" s="41" t="e">
        <v>#VALUE!</v>
      </c>
      <c r="H408" s="41" t="e">
        <v>#VALUE!</v>
      </c>
      <c r="I408" s="41" t="e">
        <v>#VALUE!</v>
      </c>
      <c r="J408" s="41">
        <v>0</v>
      </c>
      <c r="K408" s="41">
        <v>0.37</v>
      </c>
      <c r="L408" s="41">
        <v>176.5</v>
      </c>
      <c r="M408" s="41">
        <v>0.35</v>
      </c>
      <c r="N408" s="41">
        <v>4.08</v>
      </c>
      <c r="O408" s="41">
        <v>1.8080000000000001</v>
      </c>
    </row>
    <row r="409" spans="1:15">
      <c r="A409" t="s">
        <v>307</v>
      </c>
      <c r="B409" t="s">
        <v>339</v>
      </c>
      <c r="C409" t="s">
        <v>176</v>
      </c>
      <c r="D409" t="s">
        <v>132</v>
      </c>
      <c r="E409" t="s">
        <v>336</v>
      </c>
      <c r="F409" s="41" t="e">
        <v>#VALUE!</v>
      </c>
      <c r="G409" s="41" t="e">
        <v>#VALUE!</v>
      </c>
      <c r="H409" s="41" t="e">
        <v>#VALUE!</v>
      </c>
      <c r="I409" s="41" t="e">
        <v>#VALUE!</v>
      </c>
      <c r="J409" s="41">
        <v>0</v>
      </c>
      <c r="K409" s="41">
        <v>0.34</v>
      </c>
      <c r="L409" s="41">
        <v>176</v>
      </c>
      <c r="M409" s="41">
        <v>0.39</v>
      </c>
      <c r="N409" s="41">
        <v>3.99</v>
      </c>
      <c r="O409" s="41">
        <v>1.641</v>
      </c>
    </row>
    <row r="410" spans="1:15">
      <c r="A410" t="s">
        <v>308</v>
      </c>
      <c r="B410" t="s">
        <v>339</v>
      </c>
      <c r="C410" t="s">
        <v>180</v>
      </c>
      <c r="D410" t="s">
        <v>132</v>
      </c>
      <c r="E410" t="s">
        <v>336</v>
      </c>
      <c r="F410" s="41">
        <v>0.4294867846044424</v>
      </c>
      <c r="G410" s="41">
        <v>2.9640764189249249</v>
      </c>
      <c r="H410" s="41">
        <v>4.8629871697858613</v>
      </c>
      <c r="I410" s="41">
        <v>1.0062402246345139</v>
      </c>
      <c r="J410" s="41">
        <v>0</v>
      </c>
      <c r="K410" s="41">
        <v>0.41</v>
      </c>
      <c r="L410" s="41">
        <v>202.2</v>
      </c>
      <c r="M410" s="41">
        <v>0.44</v>
      </c>
      <c r="N410" s="41">
        <v>3.85</v>
      </c>
      <c r="O410" s="41">
        <v>1.74</v>
      </c>
    </row>
    <row r="411" spans="1:15">
      <c r="A411" t="s">
        <v>309</v>
      </c>
      <c r="B411" t="s">
        <v>339</v>
      </c>
      <c r="C411" t="s">
        <v>180</v>
      </c>
      <c r="D411" t="s">
        <v>132</v>
      </c>
      <c r="E411" t="s">
        <v>336</v>
      </c>
      <c r="F411" s="41">
        <v>0.46688328125081519</v>
      </c>
      <c r="G411" s="41">
        <v>2.8925559962676615</v>
      </c>
      <c r="H411" s="41">
        <v>4.7676499382340776</v>
      </c>
      <c r="I411" s="41">
        <v>2.356678282618677</v>
      </c>
      <c r="J411" s="41">
        <v>0</v>
      </c>
      <c r="K411" s="41">
        <v>0.37</v>
      </c>
      <c r="L411" s="41">
        <v>203.7</v>
      </c>
      <c r="M411" s="41">
        <v>0.83</v>
      </c>
      <c r="N411" s="41">
        <v>4.07</v>
      </c>
      <c r="O411" s="41">
        <v>1.5249999999999999</v>
      </c>
    </row>
    <row r="412" spans="1:15">
      <c r="A412" t="s">
        <v>310</v>
      </c>
      <c r="B412" t="s">
        <v>339</v>
      </c>
      <c r="C412" t="s">
        <v>180</v>
      </c>
      <c r="D412" t="s">
        <v>132</v>
      </c>
      <c r="E412" t="s">
        <v>336</v>
      </c>
      <c r="F412" s="41">
        <v>0.3819244655672821</v>
      </c>
      <c r="G412" s="41">
        <v>2.9130007015721739</v>
      </c>
      <c r="H412" s="41">
        <v>4.6832633454106887</v>
      </c>
      <c r="I412" s="41">
        <v>2.3063982423024898</v>
      </c>
      <c r="J412" s="41">
        <v>0</v>
      </c>
      <c r="K412" s="41">
        <v>0.33</v>
      </c>
      <c r="L412" s="41">
        <v>190.4</v>
      </c>
      <c r="M412" s="41">
        <v>0.7</v>
      </c>
      <c r="N412" s="41">
        <v>3.81</v>
      </c>
      <c r="O412" s="41">
        <v>1.633</v>
      </c>
    </row>
    <row r="413" spans="1:15">
      <c r="A413" t="s">
        <v>311</v>
      </c>
      <c r="B413" t="s">
        <v>339</v>
      </c>
      <c r="C413" t="s">
        <v>184</v>
      </c>
      <c r="D413" t="s">
        <v>132</v>
      </c>
      <c r="E413" t="s">
        <v>336</v>
      </c>
      <c r="F413" s="41">
        <v>0.44845826181768861</v>
      </c>
      <c r="G413" s="41">
        <v>2.5716694443893733</v>
      </c>
      <c r="H413" s="41">
        <v>5.2283288544811031</v>
      </c>
      <c r="I413" s="41">
        <v>2.384441557385073</v>
      </c>
      <c r="J413" s="41">
        <v>0</v>
      </c>
      <c r="K413" s="41">
        <v>0.35</v>
      </c>
      <c r="L413" s="41">
        <v>204.6</v>
      </c>
      <c r="M413" s="41">
        <v>7.0000000000000007E-2</v>
      </c>
      <c r="N413" s="41">
        <v>3.93</v>
      </c>
      <c r="O413" s="41">
        <v>1.583</v>
      </c>
    </row>
    <row r="414" spans="1:15">
      <c r="A414" t="s">
        <v>312</v>
      </c>
      <c r="B414" t="s">
        <v>339</v>
      </c>
      <c r="C414" t="s">
        <v>184</v>
      </c>
      <c r="D414" t="s">
        <v>132</v>
      </c>
      <c r="E414" t="s">
        <v>336</v>
      </c>
      <c r="F414" s="41">
        <v>0.49393550288757998</v>
      </c>
      <c r="G414" s="41">
        <v>2.9101063486206145</v>
      </c>
      <c r="H414" s="41">
        <v>5.1123544961684075</v>
      </c>
      <c r="I414" s="41">
        <v>2.6682881394024545</v>
      </c>
      <c r="J414" s="41">
        <v>0</v>
      </c>
      <c r="K414" s="41">
        <v>0.34</v>
      </c>
      <c r="L414" s="41">
        <v>221.7</v>
      </c>
      <c r="M414" s="41">
        <v>0.05</v>
      </c>
      <c r="N414" s="41">
        <v>3.96</v>
      </c>
      <c r="O414" s="41">
        <v>2.004</v>
      </c>
    </row>
    <row r="415" spans="1:15">
      <c r="A415" t="s">
        <v>313</v>
      </c>
      <c r="B415" t="s">
        <v>339</v>
      </c>
      <c r="C415" t="s">
        <v>184</v>
      </c>
      <c r="D415" t="s">
        <v>132</v>
      </c>
      <c r="E415" t="s">
        <v>336</v>
      </c>
      <c r="F415" s="41">
        <v>0.48979437752261112</v>
      </c>
      <c r="G415" s="41">
        <v>3.0559673190158034</v>
      </c>
      <c r="H415" s="41">
        <v>4.9025054806533328</v>
      </c>
      <c r="I415" s="41">
        <v>3.1565563082285557</v>
      </c>
      <c r="J415" s="41">
        <v>0</v>
      </c>
      <c r="K415" s="41">
        <v>0.43</v>
      </c>
      <c r="L415" s="41">
        <v>203.8</v>
      </c>
      <c r="M415" s="41">
        <v>0</v>
      </c>
      <c r="N415" s="41">
        <v>4.0199999999999996</v>
      </c>
      <c r="O415" s="41">
        <v>1.915</v>
      </c>
    </row>
    <row r="416" spans="1:15">
      <c r="A416" t="s">
        <v>296</v>
      </c>
      <c r="B416" t="s">
        <v>339</v>
      </c>
      <c r="C416" t="s">
        <v>164</v>
      </c>
      <c r="D416" t="s">
        <v>136</v>
      </c>
      <c r="E416" t="s">
        <v>335</v>
      </c>
      <c r="F416" s="41">
        <v>0.71022690762004625</v>
      </c>
      <c r="G416" s="41">
        <v>3.756419423764302</v>
      </c>
      <c r="H416" s="41">
        <v>5.1986165125558026</v>
      </c>
      <c r="I416" s="41">
        <v>1.9770993027395427</v>
      </c>
      <c r="J416" s="41">
        <v>1.81</v>
      </c>
      <c r="K416" s="41">
        <v>0.57999999999999996</v>
      </c>
      <c r="L416" s="41">
        <v>190.6</v>
      </c>
      <c r="M416" s="41">
        <v>2.15</v>
      </c>
      <c r="N416" s="41">
        <v>3.59</v>
      </c>
      <c r="O416" s="41">
        <v>3.0030000000000001</v>
      </c>
    </row>
    <row r="417" spans="1:15">
      <c r="A417" t="s">
        <v>297</v>
      </c>
      <c r="B417" t="s">
        <v>339</v>
      </c>
      <c r="C417" t="s">
        <v>164</v>
      </c>
      <c r="D417" t="s">
        <v>136</v>
      </c>
      <c r="E417" t="s">
        <v>335</v>
      </c>
      <c r="F417" s="41">
        <v>0.76638398293015031</v>
      </c>
      <c r="G417" s="41">
        <v>3.711956395082983</v>
      </c>
      <c r="H417" s="41">
        <v>4.9921705693781435</v>
      </c>
      <c r="I417" s="41">
        <v>1.8956546995796031</v>
      </c>
      <c r="J417" s="41">
        <v>1.62</v>
      </c>
      <c r="K417" s="41">
        <v>0.54</v>
      </c>
      <c r="L417" s="41">
        <v>219.7</v>
      </c>
      <c r="M417" s="41">
        <v>1.93</v>
      </c>
      <c r="N417" s="41">
        <v>3.45</v>
      </c>
      <c r="O417" s="41">
        <v>2.9350000000000001</v>
      </c>
    </row>
    <row r="418" spans="1:15">
      <c r="A418" t="s">
        <v>298</v>
      </c>
      <c r="B418" t="s">
        <v>339</v>
      </c>
      <c r="C418" t="s">
        <v>164</v>
      </c>
      <c r="D418" t="s">
        <v>136</v>
      </c>
      <c r="E418" t="s">
        <v>335</v>
      </c>
      <c r="F418" s="41">
        <v>0.94797617246530297</v>
      </c>
      <c r="G418" s="41">
        <v>3.6613329871305953</v>
      </c>
      <c r="H418" s="41">
        <v>5.351431529207157</v>
      </c>
      <c r="I418" s="41">
        <v>1.3000179120241235</v>
      </c>
      <c r="J418" s="41">
        <v>1.36</v>
      </c>
      <c r="K418" s="41">
        <v>0.37</v>
      </c>
      <c r="L418" s="41">
        <v>198.1</v>
      </c>
      <c r="M418" s="41">
        <v>1.67</v>
      </c>
      <c r="N418" s="41">
        <v>3.51</v>
      </c>
      <c r="O418" s="41">
        <v>2.7959999999999998</v>
      </c>
    </row>
    <row r="419" spans="1:15">
      <c r="A419" t="s">
        <v>299</v>
      </c>
      <c r="B419" t="s">
        <v>339</v>
      </c>
      <c r="C419" t="s">
        <v>168</v>
      </c>
      <c r="D419" t="s">
        <v>136</v>
      </c>
      <c r="E419" t="s">
        <v>335</v>
      </c>
      <c r="F419" s="41">
        <v>0.80276953268330176</v>
      </c>
      <c r="G419" s="41">
        <v>3.1852172667336474</v>
      </c>
      <c r="H419" s="41">
        <v>4.8414112644491096</v>
      </c>
      <c r="I419" s="41">
        <v>2.1906352088265426</v>
      </c>
      <c r="J419" s="41">
        <v>1.28</v>
      </c>
      <c r="K419" s="41">
        <v>0.42</v>
      </c>
      <c r="L419" s="41">
        <v>201.8</v>
      </c>
      <c r="M419" s="41">
        <v>1.51</v>
      </c>
      <c r="N419" s="41">
        <v>4.54</v>
      </c>
      <c r="O419" s="41">
        <v>2.5539999999999998</v>
      </c>
    </row>
    <row r="420" spans="1:15">
      <c r="A420" t="s">
        <v>300</v>
      </c>
      <c r="B420" t="s">
        <v>339</v>
      </c>
      <c r="C420" t="s">
        <v>168</v>
      </c>
      <c r="D420" t="s">
        <v>136</v>
      </c>
      <c r="E420" t="s">
        <v>335</v>
      </c>
      <c r="F420" s="41">
        <v>0.72680080132301761</v>
      </c>
      <c r="G420" s="41">
        <v>3.2052497136472731</v>
      </c>
      <c r="H420" s="41">
        <v>4.5931576708315349</v>
      </c>
      <c r="I420" s="41">
        <v>2.2667483450922212</v>
      </c>
      <c r="J420" s="41">
        <v>1.68</v>
      </c>
      <c r="K420" s="41">
        <v>0.59</v>
      </c>
      <c r="L420" s="41">
        <v>185.1</v>
      </c>
      <c r="M420" s="41">
        <v>1.47</v>
      </c>
      <c r="N420" s="41">
        <v>3.52</v>
      </c>
      <c r="O420" s="41">
        <v>2.996</v>
      </c>
    </row>
    <row r="421" spans="1:15">
      <c r="A421" t="s">
        <v>301</v>
      </c>
      <c r="B421" t="s">
        <v>339</v>
      </c>
      <c r="C421" t="s">
        <v>168</v>
      </c>
      <c r="D421" t="s">
        <v>136</v>
      </c>
      <c r="E421" t="s">
        <v>335</v>
      </c>
      <c r="F421" s="41">
        <v>0.75771323487215869</v>
      </c>
      <c r="G421" s="41">
        <v>3.6038421660864999</v>
      </c>
      <c r="H421" s="41">
        <v>4.4565493861394359</v>
      </c>
      <c r="I421" s="41">
        <v>2.5307878643313426</v>
      </c>
      <c r="J421" s="41">
        <v>1.34</v>
      </c>
      <c r="K421" s="41">
        <v>0.59</v>
      </c>
      <c r="L421" s="41">
        <v>164.6</v>
      </c>
      <c r="M421" s="41">
        <v>1.37</v>
      </c>
      <c r="N421" s="41">
        <v>3.41</v>
      </c>
      <c r="O421" s="41">
        <v>2.9649999999999999</v>
      </c>
    </row>
    <row r="422" spans="1:15">
      <c r="A422" t="s">
        <v>302</v>
      </c>
      <c r="B422" t="s">
        <v>339</v>
      </c>
      <c r="C422" t="s">
        <v>172</v>
      </c>
      <c r="D422" t="s">
        <v>136</v>
      </c>
      <c r="E422" t="s">
        <v>335</v>
      </c>
      <c r="F422" s="41">
        <v>0.71948936699307364</v>
      </c>
      <c r="G422" s="41">
        <v>4.1864022553914575</v>
      </c>
      <c r="H422" s="41">
        <v>4.5031330725839318</v>
      </c>
      <c r="I422" s="41">
        <v>2.3171103621149176</v>
      </c>
      <c r="J422" s="41">
        <v>1.91</v>
      </c>
      <c r="K422" s="41">
        <v>0.63</v>
      </c>
      <c r="L422" s="41">
        <v>186</v>
      </c>
      <c r="M422" s="41">
        <v>2.14</v>
      </c>
      <c r="N422" s="41">
        <v>3.48</v>
      </c>
      <c r="O422" s="41">
        <v>3.2010000000000001</v>
      </c>
    </row>
    <row r="423" spans="1:15">
      <c r="A423" t="s">
        <v>303</v>
      </c>
      <c r="B423" t="s">
        <v>339</v>
      </c>
      <c r="C423" t="s">
        <v>172</v>
      </c>
      <c r="D423" t="s">
        <v>136</v>
      </c>
      <c r="E423" t="s">
        <v>335</v>
      </c>
      <c r="F423" s="41">
        <v>0.62168367043504114</v>
      </c>
      <c r="G423" s="41">
        <v>3.7611401027480267</v>
      </c>
      <c r="H423" s="41">
        <v>4.0973172297439993</v>
      </c>
      <c r="I423" s="41">
        <v>2.3132872666204309</v>
      </c>
      <c r="J423" s="41">
        <v>1.62</v>
      </c>
      <c r="K423" s="41">
        <v>0.48</v>
      </c>
      <c r="L423" s="41">
        <v>165.6</v>
      </c>
      <c r="M423" s="41">
        <v>1.2</v>
      </c>
      <c r="N423" s="41">
        <v>3.4</v>
      </c>
      <c r="O423" s="41">
        <v>2.976</v>
      </c>
    </row>
    <row r="424" spans="1:15">
      <c r="A424" t="s">
        <v>304</v>
      </c>
      <c r="B424" t="s">
        <v>339</v>
      </c>
      <c r="C424" t="s">
        <v>172</v>
      </c>
      <c r="D424" t="s">
        <v>136</v>
      </c>
      <c r="E424" t="s">
        <v>335</v>
      </c>
      <c r="F424" s="41">
        <v>0.7684314919250359</v>
      </c>
      <c r="G424" s="41">
        <v>3.7642128161951249</v>
      </c>
      <c r="H424" s="41">
        <v>4.4516592031943842</v>
      </c>
      <c r="I424" s="41">
        <v>1.6152228200097343</v>
      </c>
      <c r="J424" s="41">
        <v>1.08</v>
      </c>
      <c r="K424" s="41">
        <v>0.41</v>
      </c>
      <c r="L424" s="41">
        <v>177.1</v>
      </c>
      <c r="M424" s="41">
        <v>1.1000000000000001</v>
      </c>
      <c r="N424" s="41">
        <v>3.52</v>
      </c>
      <c r="O424" s="41">
        <v>2.657</v>
      </c>
    </row>
    <row r="425" spans="1:15">
      <c r="A425" t="s">
        <v>305</v>
      </c>
      <c r="B425" t="s">
        <v>339</v>
      </c>
      <c r="C425" t="s">
        <v>176</v>
      </c>
      <c r="D425" t="s">
        <v>136</v>
      </c>
      <c r="E425" t="s">
        <v>336</v>
      </c>
      <c r="F425" s="41">
        <v>0.40266253832282117</v>
      </c>
      <c r="G425" s="41">
        <v>2.4743043723231377</v>
      </c>
      <c r="H425" s="41">
        <v>4.4018740684475111</v>
      </c>
      <c r="I425" s="41">
        <v>2.1149826326028895</v>
      </c>
      <c r="J425" s="41">
        <v>0</v>
      </c>
      <c r="K425" s="41">
        <v>0.26</v>
      </c>
      <c r="L425" s="41">
        <v>183.5</v>
      </c>
      <c r="M425" s="41">
        <v>1.08</v>
      </c>
      <c r="N425" s="41">
        <v>4.1100000000000003</v>
      </c>
      <c r="O425" s="41">
        <v>1.647</v>
      </c>
    </row>
    <row r="426" spans="1:15">
      <c r="A426" t="s">
        <v>306</v>
      </c>
      <c r="B426" t="s">
        <v>339</v>
      </c>
      <c r="C426" t="s">
        <v>176</v>
      </c>
      <c r="D426" t="s">
        <v>136</v>
      </c>
      <c r="E426" t="s">
        <v>336</v>
      </c>
      <c r="F426" s="41" t="e">
        <v>#VALUE!</v>
      </c>
      <c r="G426" s="41" t="e">
        <v>#VALUE!</v>
      </c>
      <c r="H426" s="41" t="e">
        <v>#VALUE!</v>
      </c>
      <c r="I426" s="41" t="e">
        <v>#VALUE!</v>
      </c>
      <c r="J426" s="41">
        <v>0</v>
      </c>
      <c r="K426" s="41">
        <v>0.37</v>
      </c>
      <c r="L426" s="41">
        <v>176.5</v>
      </c>
      <c r="M426" s="41">
        <v>0.35</v>
      </c>
      <c r="N426" s="41">
        <v>4.08</v>
      </c>
      <c r="O426" s="41">
        <v>1.8080000000000001</v>
      </c>
    </row>
    <row r="427" spans="1:15">
      <c r="A427" t="s">
        <v>307</v>
      </c>
      <c r="B427" t="s">
        <v>339</v>
      </c>
      <c r="C427" t="s">
        <v>176</v>
      </c>
      <c r="D427" t="s">
        <v>136</v>
      </c>
      <c r="E427" t="s">
        <v>336</v>
      </c>
      <c r="F427" s="41" t="e">
        <v>#VALUE!</v>
      </c>
      <c r="G427" s="41" t="e">
        <v>#VALUE!</v>
      </c>
      <c r="H427" s="41" t="e">
        <v>#VALUE!</v>
      </c>
      <c r="I427" s="41" t="e">
        <v>#VALUE!</v>
      </c>
      <c r="J427" s="41">
        <v>0</v>
      </c>
      <c r="K427" s="41">
        <v>0.34</v>
      </c>
      <c r="L427" s="41">
        <v>176</v>
      </c>
      <c r="M427" s="41">
        <v>0.39</v>
      </c>
      <c r="N427" s="41">
        <v>3.99</v>
      </c>
      <c r="O427" s="41">
        <v>1.641</v>
      </c>
    </row>
    <row r="428" spans="1:15">
      <c r="A428" t="s">
        <v>308</v>
      </c>
      <c r="B428" t="s">
        <v>339</v>
      </c>
      <c r="C428" t="s">
        <v>180</v>
      </c>
      <c r="D428" t="s">
        <v>136</v>
      </c>
      <c r="E428" t="s">
        <v>336</v>
      </c>
      <c r="F428" s="41">
        <v>0.4294867846044424</v>
      </c>
      <c r="G428" s="41">
        <v>2.9640764189249249</v>
      </c>
      <c r="H428" s="41">
        <v>4.8629871697858613</v>
      </c>
      <c r="I428" s="41">
        <v>1.0062402246345139</v>
      </c>
      <c r="J428" s="41">
        <v>0</v>
      </c>
      <c r="K428" s="41">
        <v>0.41</v>
      </c>
      <c r="L428" s="41">
        <v>202.2</v>
      </c>
      <c r="M428" s="41">
        <v>0.44</v>
      </c>
      <c r="N428" s="41">
        <v>3.85</v>
      </c>
      <c r="O428" s="41">
        <v>1.74</v>
      </c>
    </row>
    <row r="429" spans="1:15">
      <c r="A429" t="s">
        <v>309</v>
      </c>
      <c r="B429" t="s">
        <v>339</v>
      </c>
      <c r="C429" t="s">
        <v>180</v>
      </c>
      <c r="D429" t="s">
        <v>136</v>
      </c>
      <c r="E429" t="s">
        <v>336</v>
      </c>
      <c r="F429" s="41">
        <v>0.46688328125081519</v>
      </c>
      <c r="G429" s="41">
        <v>2.8925559962676615</v>
      </c>
      <c r="H429" s="41">
        <v>4.7676499382340776</v>
      </c>
      <c r="I429" s="41">
        <v>2.356678282618677</v>
      </c>
      <c r="J429" s="41">
        <v>0</v>
      </c>
      <c r="K429" s="41">
        <v>0.37</v>
      </c>
      <c r="L429" s="41">
        <v>203.7</v>
      </c>
      <c r="M429" s="41">
        <v>0.83</v>
      </c>
      <c r="N429" s="41">
        <v>4.07</v>
      </c>
      <c r="O429" s="41">
        <v>1.5249999999999999</v>
      </c>
    </row>
    <row r="430" spans="1:15">
      <c r="A430" t="s">
        <v>310</v>
      </c>
      <c r="B430" t="s">
        <v>339</v>
      </c>
      <c r="C430" t="s">
        <v>180</v>
      </c>
      <c r="D430" t="s">
        <v>136</v>
      </c>
      <c r="E430" t="s">
        <v>336</v>
      </c>
      <c r="F430" s="41">
        <v>0.3819244655672821</v>
      </c>
      <c r="G430" s="41">
        <v>2.9130007015721739</v>
      </c>
      <c r="H430" s="41">
        <v>4.6832633454106887</v>
      </c>
      <c r="I430" s="41">
        <v>2.3063982423024898</v>
      </c>
      <c r="J430" s="41">
        <v>0</v>
      </c>
      <c r="K430" s="41">
        <v>0.33</v>
      </c>
      <c r="L430" s="41">
        <v>190.4</v>
      </c>
      <c r="M430" s="41">
        <v>0.7</v>
      </c>
      <c r="N430" s="41">
        <v>3.81</v>
      </c>
      <c r="O430" s="41">
        <v>1.633</v>
      </c>
    </row>
    <row r="431" spans="1:15">
      <c r="A431" t="s">
        <v>311</v>
      </c>
      <c r="B431" t="s">
        <v>339</v>
      </c>
      <c r="C431" t="s">
        <v>184</v>
      </c>
      <c r="D431" t="s">
        <v>136</v>
      </c>
      <c r="E431" t="s">
        <v>336</v>
      </c>
      <c r="F431" s="41">
        <v>0.44845826181768861</v>
      </c>
      <c r="G431" s="41">
        <v>2.5716694443893733</v>
      </c>
      <c r="H431" s="41">
        <v>5.2283288544811031</v>
      </c>
      <c r="I431" s="41">
        <v>2.384441557385073</v>
      </c>
      <c r="J431" s="41">
        <v>0</v>
      </c>
      <c r="K431" s="41">
        <v>0.35</v>
      </c>
      <c r="L431" s="41">
        <v>204.6</v>
      </c>
      <c r="M431" s="41">
        <v>7.0000000000000007E-2</v>
      </c>
      <c r="N431" s="41">
        <v>3.93</v>
      </c>
      <c r="O431" s="41">
        <v>1.583</v>
      </c>
    </row>
    <row r="432" spans="1:15">
      <c r="A432" t="s">
        <v>312</v>
      </c>
      <c r="B432" t="s">
        <v>339</v>
      </c>
      <c r="C432" t="s">
        <v>184</v>
      </c>
      <c r="D432" t="s">
        <v>136</v>
      </c>
      <c r="E432" t="s">
        <v>336</v>
      </c>
      <c r="F432" s="41">
        <v>0.49393550288757998</v>
      </c>
      <c r="G432" s="41">
        <v>2.9101063486206145</v>
      </c>
      <c r="H432" s="41">
        <v>5.1123544961684075</v>
      </c>
      <c r="I432" s="41">
        <v>2.6682881394024545</v>
      </c>
      <c r="J432" s="41">
        <v>0</v>
      </c>
      <c r="K432" s="41">
        <v>0.34</v>
      </c>
      <c r="L432" s="41">
        <v>221.7</v>
      </c>
      <c r="M432" s="41">
        <v>0.05</v>
      </c>
      <c r="N432" s="41">
        <v>3.96</v>
      </c>
      <c r="O432" s="41">
        <v>2.004</v>
      </c>
    </row>
    <row r="433" spans="1:15">
      <c r="A433" t="s">
        <v>313</v>
      </c>
      <c r="B433" t="s">
        <v>339</v>
      </c>
      <c r="C433" t="s">
        <v>184</v>
      </c>
      <c r="D433" t="s">
        <v>136</v>
      </c>
      <c r="E433" t="s">
        <v>336</v>
      </c>
      <c r="F433" s="41">
        <v>0.48979437752261112</v>
      </c>
      <c r="G433" s="41">
        <v>3.0559673190158034</v>
      </c>
      <c r="H433" s="41">
        <v>4.9025054806533328</v>
      </c>
      <c r="I433" s="41">
        <v>3.1565563082285557</v>
      </c>
      <c r="J433" s="41">
        <v>0</v>
      </c>
      <c r="K433" s="41">
        <v>0.43</v>
      </c>
      <c r="L433" s="41">
        <v>203.8</v>
      </c>
      <c r="M433" s="41">
        <v>0</v>
      </c>
      <c r="N433" s="41">
        <v>4.0199999999999996</v>
      </c>
      <c r="O433" s="41">
        <v>1.915</v>
      </c>
    </row>
    <row r="434" spans="1:15">
      <c r="A434" t="s">
        <v>296</v>
      </c>
      <c r="B434" t="s">
        <v>339</v>
      </c>
      <c r="C434" t="s">
        <v>164</v>
      </c>
      <c r="D434" t="s">
        <v>321</v>
      </c>
      <c r="E434" t="s">
        <v>335</v>
      </c>
      <c r="F434" s="41">
        <v>0.71022690762004625</v>
      </c>
      <c r="G434" s="41">
        <v>3.756419423764302</v>
      </c>
      <c r="H434" s="41">
        <v>5.1986165125558026</v>
      </c>
      <c r="I434" s="41">
        <v>1.9770993027395427</v>
      </c>
      <c r="J434" s="41">
        <v>1.81</v>
      </c>
      <c r="K434" s="41">
        <v>0.57999999999999996</v>
      </c>
      <c r="L434" s="41">
        <v>190.6</v>
      </c>
      <c r="M434" s="41">
        <v>2.15</v>
      </c>
      <c r="N434" s="41">
        <v>3.59</v>
      </c>
      <c r="O434" s="41">
        <v>3.0030000000000001</v>
      </c>
    </row>
    <row r="435" spans="1:15">
      <c r="A435" t="s">
        <v>297</v>
      </c>
      <c r="B435" t="s">
        <v>339</v>
      </c>
      <c r="C435" t="s">
        <v>164</v>
      </c>
      <c r="D435" t="s">
        <v>321</v>
      </c>
      <c r="E435" t="s">
        <v>335</v>
      </c>
      <c r="F435" s="41">
        <v>0.76638398293015031</v>
      </c>
      <c r="G435" s="41">
        <v>3.711956395082983</v>
      </c>
      <c r="H435" s="41">
        <v>4.9921705693781435</v>
      </c>
      <c r="I435" s="41">
        <v>1.8956546995796031</v>
      </c>
      <c r="J435" s="41">
        <v>1.62</v>
      </c>
      <c r="K435" s="41">
        <v>0.54</v>
      </c>
      <c r="L435" s="41">
        <v>219.7</v>
      </c>
      <c r="M435" s="41">
        <v>1.93</v>
      </c>
      <c r="N435" s="41">
        <v>3.45</v>
      </c>
      <c r="O435" s="41">
        <v>2.9350000000000001</v>
      </c>
    </row>
    <row r="436" spans="1:15">
      <c r="A436" t="s">
        <v>298</v>
      </c>
      <c r="B436" t="s">
        <v>339</v>
      </c>
      <c r="C436" t="s">
        <v>164</v>
      </c>
      <c r="D436" t="s">
        <v>321</v>
      </c>
      <c r="E436" t="s">
        <v>335</v>
      </c>
      <c r="F436" s="41">
        <v>0.94797617246530297</v>
      </c>
      <c r="G436" s="41">
        <v>3.6613329871305953</v>
      </c>
      <c r="H436" s="41">
        <v>5.351431529207157</v>
      </c>
      <c r="I436" s="41">
        <v>1.3000179120241235</v>
      </c>
      <c r="J436" s="41">
        <v>1.36</v>
      </c>
      <c r="K436" s="41">
        <v>0.37</v>
      </c>
      <c r="L436" s="41">
        <v>198.1</v>
      </c>
      <c r="M436" s="41">
        <v>1.67</v>
      </c>
      <c r="N436" s="41">
        <v>3.51</v>
      </c>
      <c r="O436" s="41">
        <v>2.7959999999999998</v>
      </c>
    </row>
    <row r="437" spans="1:15">
      <c r="A437" t="s">
        <v>299</v>
      </c>
      <c r="B437" t="s">
        <v>339</v>
      </c>
      <c r="C437" t="s">
        <v>168</v>
      </c>
      <c r="D437" t="s">
        <v>321</v>
      </c>
      <c r="E437" t="s">
        <v>335</v>
      </c>
      <c r="F437" s="41">
        <v>0.80276953268330176</v>
      </c>
      <c r="G437" s="41">
        <v>3.1852172667336474</v>
      </c>
      <c r="H437" s="41">
        <v>4.8414112644491096</v>
      </c>
      <c r="I437" s="41">
        <v>2.1906352088265426</v>
      </c>
      <c r="J437" s="41">
        <v>1.28</v>
      </c>
      <c r="K437" s="41">
        <v>0.42</v>
      </c>
      <c r="L437" s="41">
        <v>201.8</v>
      </c>
      <c r="M437" s="41">
        <v>1.51</v>
      </c>
      <c r="N437" s="41">
        <v>4.54</v>
      </c>
      <c r="O437" s="41">
        <v>2.5539999999999998</v>
      </c>
    </row>
    <row r="438" spans="1:15">
      <c r="A438" t="s">
        <v>300</v>
      </c>
      <c r="B438" t="s">
        <v>339</v>
      </c>
      <c r="C438" t="s">
        <v>168</v>
      </c>
      <c r="D438" t="s">
        <v>321</v>
      </c>
      <c r="E438" t="s">
        <v>335</v>
      </c>
      <c r="F438" s="41">
        <v>0.72680080132301761</v>
      </c>
      <c r="G438" s="41">
        <v>3.2052497136472731</v>
      </c>
      <c r="H438" s="41">
        <v>4.5931576708315349</v>
      </c>
      <c r="I438" s="41">
        <v>2.2667483450922212</v>
      </c>
      <c r="J438" s="41">
        <v>1.68</v>
      </c>
      <c r="K438" s="41">
        <v>0.59</v>
      </c>
      <c r="L438" s="41">
        <v>185.1</v>
      </c>
      <c r="M438" s="41">
        <v>1.47</v>
      </c>
      <c r="N438" s="41">
        <v>3.52</v>
      </c>
      <c r="O438" s="41">
        <v>2.996</v>
      </c>
    </row>
    <row r="439" spans="1:15">
      <c r="A439" t="s">
        <v>301</v>
      </c>
      <c r="B439" t="s">
        <v>339</v>
      </c>
      <c r="C439" t="s">
        <v>168</v>
      </c>
      <c r="D439" t="s">
        <v>321</v>
      </c>
      <c r="E439" t="s">
        <v>335</v>
      </c>
      <c r="F439" s="41">
        <v>0.75771323487215869</v>
      </c>
      <c r="G439" s="41">
        <v>3.6038421660864999</v>
      </c>
      <c r="H439" s="41">
        <v>4.4565493861394359</v>
      </c>
      <c r="I439" s="41">
        <v>2.5307878643313426</v>
      </c>
      <c r="J439" s="41">
        <v>1.34</v>
      </c>
      <c r="K439" s="41">
        <v>0.59</v>
      </c>
      <c r="L439" s="41">
        <v>164.6</v>
      </c>
      <c r="M439" s="41">
        <v>1.37</v>
      </c>
      <c r="N439" s="41">
        <v>3.41</v>
      </c>
      <c r="O439" s="41">
        <v>2.9649999999999999</v>
      </c>
    </row>
    <row r="440" spans="1:15">
      <c r="A440" t="s">
        <v>302</v>
      </c>
      <c r="B440" t="s">
        <v>339</v>
      </c>
      <c r="C440" t="s">
        <v>172</v>
      </c>
      <c r="D440" t="s">
        <v>321</v>
      </c>
      <c r="E440" t="s">
        <v>335</v>
      </c>
      <c r="F440" s="41">
        <v>0.71948936699307364</v>
      </c>
      <c r="G440" s="41">
        <v>4.1864022553914575</v>
      </c>
      <c r="H440" s="41">
        <v>4.5031330725839318</v>
      </c>
      <c r="I440" s="41">
        <v>2.3171103621149176</v>
      </c>
      <c r="J440" s="41">
        <v>1.91</v>
      </c>
      <c r="K440" s="41">
        <v>0.63</v>
      </c>
      <c r="L440" s="41">
        <v>186</v>
      </c>
      <c r="M440" s="41">
        <v>2.14</v>
      </c>
      <c r="N440" s="41">
        <v>3.48</v>
      </c>
      <c r="O440" s="41">
        <v>3.2010000000000001</v>
      </c>
    </row>
    <row r="441" spans="1:15">
      <c r="A441" t="s">
        <v>303</v>
      </c>
      <c r="B441" t="s">
        <v>339</v>
      </c>
      <c r="C441" t="s">
        <v>172</v>
      </c>
      <c r="D441" t="s">
        <v>321</v>
      </c>
      <c r="E441" t="s">
        <v>335</v>
      </c>
      <c r="F441" s="41">
        <v>0.62168367043504114</v>
      </c>
      <c r="G441" s="41">
        <v>3.7611401027480267</v>
      </c>
      <c r="H441" s="41">
        <v>4.0973172297439993</v>
      </c>
      <c r="I441" s="41">
        <v>2.3132872666204309</v>
      </c>
      <c r="J441" s="41">
        <v>1.62</v>
      </c>
      <c r="K441" s="41">
        <v>0.48</v>
      </c>
      <c r="L441" s="41">
        <v>165.6</v>
      </c>
      <c r="M441" s="41">
        <v>1.2</v>
      </c>
      <c r="N441" s="41">
        <v>3.4</v>
      </c>
      <c r="O441" s="41">
        <v>2.976</v>
      </c>
    </row>
    <row r="442" spans="1:15">
      <c r="A442" t="s">
        <v>304</v>
      </c>
      <c r="B442" t="s">
        <v>339</v>
      </c>
      <c r="C442" t="s">
        <v>172</v>
      </c>
      <c r="D442" t="s">
        <v>321</v>
      </c>
      <c r="E442" t="s">
        <v>335</v>
      </c>
      <c r="F442" s="41">
        <v>0.7684314919250359</v>
      </c>
      <c r="G442" s="41">
        <v>3.7642128161951249</v>
      </c>
      <c r="H442" s="41">
        <v>4.4516592031943842</v>
      </c>
      <c r="I442" s="41">
        <v>1.6152228200097343</v>
      </c>
      <c r="J442" s="41">
        <v>1.08</v>
      </c>
      <c r="K442" s="41">
        <v>0.41</v>
      </c>
      <c r="L442" s="41">
        <v>177.1</v>
      </c>
      <c r="M442" s="41">
        <v>1.1000000000000001</v>
      </c>
      <c r="N442" s="41">
        <v>3.52</v>
      </c>
      <c r="O442" s="41">
        <v>2.657</v>
      </c>
    </row>
    <row r="443" spans="1:15">
      <c r="A443" t="s">
        <v>305</v>
      </c>
      <c r="B443" t="s">
        <v>339</v>
      </c>
      <c r="C443" t="s">
        <v>176</v>
      </c>
      <c r="D443" t="s">
        <v>321</v>
      </c>
      <c r="E443" t="s">
        <v>336</v>
      </c>
      <c r="F443" s="41">
        <v>0.40266253832282117</v>
      </c>
      <c r="G443" s="41">
        <v>2.4743043723231377</v>
      </c>
      <c r="H443" s="41">
        <v>4.4018740684475111</v>
      </c>
      <c r="I443" s="41">
        <v>2.1149826326028895</v>
      </c>
      <c r="J443" s="41">
        <v>0</v>
      </c>
      <c r="K443" s="41">
        <v>0.26</v>
      </c>
      <c r="L443" s="41">
        <v>183.5</v>
      </c>
      <c r="M443" s="41">
        <v>1.08</v>
      </c>
      <c r="N443" s="41">
        <v>4.1100000000000003</v>
      </c>
      <c r="O443" s="41">
        <v>1.647</v>
      </c>
    </row>
    <row r="444" spans="1:15">
      <c r="A444" t="s">
        <v>306</v>
      </c>
      <c r="B444" t="s">
        <v>339</v>
      </c>
      <c r="C444" t="s">
        <v>176</v>
      </c>
      <c r="D444" t="s">
        <v>321</v>
      </c>
      <c r="E444" t="s">
        <v>336</v>
      </c>
      <c r="F444" s="41" t="e">
        <v>#VALUE!</v>
      </c>
      <c r="G444" s="41" t="e">
        <v>#VALUE!</v>
      </c>
      <c r="H444" s="41" t="e">
        <v>#VALUE!</v>
      </c>
      <c r="I444" s="41" t="e">
        <v>#VALUE!</v>
      </c>
      <c r="J444" s="41">
        <v>0</v>
      </c>
      <c r="K444" s="41">
        <v>0.37</v>
      </c>
      <c r="L444" s="41">
        <v>176.5</v>
      </c>
      <c r="M444" s="41">
        <v>0.35</v>
      </c>
      <c r="N444" s="41">
        <v>4.08</v>
      </c>
      <c r="O444" s="41">
        <v>1.8080000000000001</v>
      </c>
    </row>
    <row r="445" spans="1:15">
      <c r="A445" t="s">
        <v>307</v>
      </c>
      <c r="B445" t="s">
        <v>339</v>
      </c>
      <c r="C445" t="s">
        <v>176</v>
      </c>
      <c r="D445" t="s">
        <v>321</v>
      </c>
      <c r="E445" t="s">
        <v>336</v>
      </c>
      <c r="F445" s="41" t="e">
        <v>#VALUE!</v>
      </c>
      <c r="G445" s="41" t="e">
        <v>#VALUE!</v>
      </c>
      <c r="H445" s="41" t="e">
        <v>#VALUE!</v>
      </c>
      <c r="I445" s="41" t="e">
        <v>#VALUE!</v>
      </c>
      <c r="J445" s="41">
        <v>0</v>
      </c>
      <c r="K445" s="41">
        <v>0.34</v>
      </c>
      <c r="L445" s="41">
        <v>176</v>
      </c>
      <c r="M445" s="41">
        <v>0.39</v>
      </c>
      <c r="N445" s="41">
        <v>3.99</v>
      </c>
      <c r="O445" s="41">
        <v>1.641</v>
      </c>
    </row>
    <row r="446" spans="1:15">
      <c r="A446" t="s">
        <v>308</v>
      </c>
      <c r="B446" t="s">
        <v>339</v>
      </c>
      <c r="C446" t="s">
        <v>180</v>
      </c>
      <c r="D446" t="s">
        <v>321</v>
      </c>
      <c r="E446" t="s">
        <v>336</v>
      </c>
      <c r="F446" s="41">
        <v>0.4294867846044424</v>
      </c>
      <c r="G446" s="41">
        <v>2.9640764189249249</v>
      </c>
      <c r="H446" s="41">
        <v>4.8629871697858613</v>
      </c>
      <c r="I446" s="41">
        <v>1.0062402246345139</v>
      </c>
      <c r="J446" s="41">
        <v>0</v>
      </c>
      <c r="K446" s="41">
        <v>0.41</v>
      </c>
      <c r="L446" s="41">
        <v>202.2</v>
      </c>
      <c r="M446" s="41">
        <v>0.44</v>
      </c>
      <c r="N446" s="41">
        <v>3.85</v>
      </c>
      <c r="O446" s="41">
        <v>1.74</v>
      </c>
    </row>
    <row r="447" spans="1:15">
      <c r="A447" t="s">
        <v>309</v>
      </c>
      <c r="B447" t="s">
        <v>339</v>
      </c>
      <c r="C447" t="s">
        <v>180</v>
      </c>
      <c r="D447" t="s">
        <v>321</v>
      </c>
      <c r="E447" t="s">
        <v>336</v>
      </c>
      <c r="F447" s="41">
        <v>0.46688328125081519</v>
      </c>
      <c r="G447" s="41">
        <v>2.8925559962676615</v>
      </c>
      <c r="H447" s="41">
        <v>4.7676499382340776</v>
      </c>
      <c r="I447" s="41">
        <v>2.356678282618677</v>
      </c>
      <c r="J447" s="41">
        <v>0</v>
      </c>
      <c r="K447" s="41">
        <v>0.37</v>
      </c>
      <c r="L447" s="41">
        <v>203.7</v>
      </c>
      <c r="M447" s="41">
        <v>0.83</v>
      </c>
      <c r="N447" s="41">
        <v>4.07</v>
      </c>
      <c r="O447" s="41">
        <v>1.5249999999999999</v>
      </c>
    </row>
    <row r="448" spans="1:15">
      <c r="A448" t="s">
        <v>310</v>
      </c>
      <c r="B448" t="s">
        <v>339</v>
      </c>
      <c r="C448" t="s">
        <v>180</v>
      </c>
      <c r="D448" t="s">
        <v>321</v>
      </c>
      <c r="E448" t="s">
        <v>336</v>
      </c>
      <c r="F448" s="41">
        <v>0.3819244655672821</v>
      </c>
      <c r="G448" s="41">
        <v>2.9130007015721739</v>
      </c>
      <c r="H448" s="41">
        <v>4.6832633454106887</v>
      </c>
      <c r="I448" s="41">
        <v>2.3063982423024898</v>
      </c>
      <c r="J448" s="41">
        <v>0</v>
      </c>
      <c r="K448" s="41">
        <v>0.33</v>
      </c>
      <c r="L448" s="41">
        <v>190.4</v>
      </c>
      <c r="M448" s="41">
        <v>0.7</v>
      </c>
      <c r="N448" s="41">
        <v>3.81</v>
      </c>
      <c r="O448" s="41">
        <v>1.633</v>
      </c>
    </row>
    <row r="449" spans="1:15">
      <c r="A449" t="s">
        <v>311</v>
      </c>
      <c r="B449" t="s">
        <v>339</v>
      </c>
      <c r="C449" t="s">
        <v>184</v>
      </c>
      <c r="D449" t="s">
        <v>321</v>
      </c>
      <c r="E449" t="s">
        <v>336</v>
      </c>
      <c r="F449" s="41">
        <v>0.44845826181768861</v>
      </c>
      <c r="G449" s="41">
        <v>2.5716694443893733</v>
      </c>
      <c r="H449" s="41">
        <v>5.2283288544811031</v>
      </c>
      <c r="I449" s="41">
        <v>2.384441557385073</v>
      </c>
      <c r="J449" s="41">
        <v>0</v>
      </c>
      <c r="K449" s="41">
        <v>0.35</v>
      </c>
      <c r="L449" s="41">
        <v>204.6</v>
      </c>
      <c r="M449" s="41">
        <v>7.0000000000000007E-2</v>
      </c>
      <c r="N449" s="41">
        <v>3.93</v>
      </c>
      <c r="O449" s="41">
        <v>1.583</v>
      </c>
    </row>
    <row r="450" spans="1:15">
      <c r="A450" t="s">
        <v>312</v>
      </c>
      <c r="B450" t="s">
        <v>339</v>
      </c>
      <c r="C450" t="s">
        <v>184</v>
      </c>
      <c r="D450" t="s">
        <v>321</v>
      </c>
      <c r="E450" t="s">
        <v>336</v>
      </c>
      <c r="F450" s="41">
        <v>0.49393550288757998</v>
      </c>
      <c r="G450" s="41">
        <v>2.9101063486206145</v>
      </c>
      <c r="H450" s="41">
        <v>5.1123544961684075</v>
      </c>
      <c r="I450" s="41">
        <v>2.6682881394024545</v>
      </c>
      <c r="J450" s="41">
        <v>0</v>
      </c>
      <c r="K450" s="41">
        <v>0.34</v>
      </c>
      <c r="L450" s="41">
        <v>221.7</v>
      </c>
      <c r="M450" s="41">
        <v>0.05</v>
      </c>
      <c r="N450" s="41">
        <v>3.96</v>
      </c>
      <c r="O450" s="41">
        <v>2.004</v>
      </c>
    </row>
    <row r="451" spans="1:15">
      <c r="A451" t="s">
        <v>313</v>
      </c>
      <c r="B451" t="s">
        <v>339</v>
      </c>
      <c r="C451" t="s">
        <v>184</v>
      </c>
      <c r="D451" t="s">
        <v>321</v>
      </c>
      <c r="E451" t="s">
        <v>336</v>
      </c>
      <c r="F451" s="41">
        <v>0.48979437752261112</v>
      </c>
      <c r="G451" s="41">
        <v>3.0559673190158034</v>
      </c>
      <c r="H451" s="41">
        <v>4.9025054806533328</v>
      </c>
      <c r="I451" s="41">
        <v>3.1565563082285557</v>
      </c>
      <c r="J451" s="41">
        <v>0</v>
      </c>
      <c r="K451" s="41">
        <v>0.43</v>
      </c>
      <c r="L451" s="41">
        <v>203.8</v>
      </c>
      <c r="M451" s="41">
        <v>0</v>
      </c>
      <c r="N451" s="41">
        <v>4.0199999999999996</v>
      </c>
      <c r="O451" s="41">
        <v>1.915</v>
      </c>
    </row>
    <row r="452" spans="1:15">
      <c r="A452" t="s">
        <v>296</v>
      </c>
      <c r="B452" t="s">
        <v>339</v>
      </c>
      <c r="C452" t="s">
        <v>164</v>
      </c>
      <c r="D452" t="s">
        <v>322</v>
      </c>
      <c r="E452" t="s">
        <v>335</v>
      </c>
      <c r="F452" s="41">
        <v>0.71022690762004625</v>
      </c>
      <c r="G452" s="41">
        <v>3.756419423764302</v>
      </c>
      <c r="H452" s="41">
        <v>5.1986165125558026</v>
      </c>
      <c r="I452" s="41">
        <v>1.9770993027395427</v>
      </c>
      <c r="J452" s="41">
        <v>1.81</v>
      </c>
      <c r="K452" s="41">
        <v>0.57999999999999996</v>
      </c>
      <c r="L452" s="41">
        <v>190.6</v>
      </c>
      <c r="M452" s="41">
        <v>2.15</v>
      </c>
      <c r="N452" s="41">
        <v>3.59</v>
      </c>
      <c r="O452" s="41">
        <v>3.0030000000000001</v>
      </c>
    </row>
    <row r="453" spans="1:15">
      <c r="A453" t="s">
        <v>297</v>
      </c>
      <c r="B453" t="s">
        <v>339</v>
      </c>
      <c r="C453" t="s">
        <v>164</v>
      </c>
      <c r="D453" t="s">
        <v>322</v>
      </c>
      <c r="E453" t="s">
        <v>335</v>
      </c>
      <c r="F453" s="41">
        <v>0.76638398293015031</v>
      </c>
      <c r="G453" s="41">
        <v>3.711956395082983</v>
      </c>
      <c r="H453" s="41">
        <v>4.9921705693781435</v>
      </c>
      <c r="I453" s="41">
        <v>1.8956546995796031</v>
      </c>
      <c r="J453" s="41">
        <v>1.62</v>
      </c>
      <c r="K453" s="41">
        <v>0.54</v>
      </c>
      <c r="L453" s="41">
        <v>219.7</v>
      </c>
      <c r="M453" s="41">
        <v>1.93</v>
      </c>
      <c r="N453" s="41">
        <v>3.45</v>
      </c>
      <c r="O453" s="41">
        <v>2.9350000000000001</v>
      </c>
    </row>
    <row r="454" spans="1:15">
      <c r="A454" t="s">
        <v>298</v>
      </c>
      <c r="B454" t="s">
        <v>339</v>
      </c>
      <c r="C454" t="s">
        <v>164</v>
      </c>
      <c r="D454" t="s">
        <v>322</v>
      </c>
      <c r="E454" t="s">
        <v>335</v>
      </c>
      <c r="F454" s="41">
        <v>0.94797617246530297</v>
      </c>
      <c r="G454" s="41">
        <v>3.6613329871305953</v>
      </c>
      <c r="H454" s="41">
        <v>5.351431529207157</v>
      </c>
      <c r="I454" s="41">
        <v>1.3000179120241235</v>
      </c>
      <c r="J454" s="41">
        <v>1.36</v>
      </c>
      <c r="K454" s="41">
        <v>0.37</v>
      </c>
      <c r="L454" s="41">
        <v>198.1</v>
      </c>
      <c r="M454" s="41">
        <v>1.67</v>
      </c>
      <c r="N454" s="41">
        <v>3.51</v>
      </c>
      <c r="O454" s="41">
        <v>2.7959999999999998</v>
      </c>
    </row>
    <row r="455" spans="1:15">
      <c r="A455" t="s">
        <v>299</v>
      </c>
      <c r="B455" t="s">
        <v>339</v>
      </c>
      <c r="C455" t="s">
        <v>168</v>
      </c>
      <c r="D455" t="s">
        <v>322</v>
      </c>
      <c r="E455" t="s">
        <v>335</v>
      </c>
      <c r="F455" s="41">
        <v>0.80276953268330176</v>
      </c>
      <c r="G455" s="41">
        <v>3.1852172667336474</v>
      </c>
      <c r="H455" s="41">
        <v>4.8414112644491096</v>
      </c>
      <c r="I455" s="41">
        <v>2.1906352088265426</v>
      </c>
      <c r="J455" s="41">
        <v>1.28</v>
      </c>
      <c r="K455" s="41">
        <v>0.42</v>
      </c>
      <c r="L455" s="41">
        <v>201.8</v>
      </c>
      <c r="M455" s="41">
        <v>1.51</v>
      </c>
      <c r="N455" s="41">
        <v>4.54</v>
      </c>
      <c r="O455" s="41">
        <v>2.5539999999999998</v>
      </c>
    </row>
    <row r="456" spans="1:15">
      <c r="A456" t="s">
        <v>300</v>
      </c>
      <c r="B456" t="s">
        <v>339</v>
      </c>
      <c r="C456" t="s">
        <v>168</v>
      </c>
      <c r="D456" t="s">
        <v>322</v>
      </c>
      <c r="E456" t="s">
        <v>335</v>
      </c>
      <c r="F456" s="41">
        <v>0.72680080132301761</v>
      </c>
      <c r="G456" s="41">
        <v>3.2052497136472731</v>
      </c>
      <c r="H456" s="41">
        <v>4.5931576708315349</v>
      </c>
      <c r="I456" s="41">
        <v>2.2667483450922212</v>
      </c>
      <c r="J456" s="41">
        <v>1.68</v>
      </c>
      <c r="K456" s="41">
        <v>0.59</v>
      </c>
      <c r="L456" s="41">
        <v>185.1</v>
      </c>
      <c r="M456" s="41">
        <v>1.47</v>
      </c>
      <c r="N456" s="41">
        <v>3.52</v>
      </c>
      <c r="O456" s="41">
        <v>2.996</v>
      </c>
    </row>
    <row r="457" spans="1:15">
      <c r="A457" t="s">
        <v>301</v>
      </c>
      <c r="B457" t="s">
        <v>339</v>
      </c>
      <c r="C457" t="s">
        <v>168</v>
      </c>
      <c r="D457" t="s">
        <v>322</v>
      </c>
      <c r="E457" t="s">
        <v>335</v>
      </c>
      <c r="F457" s="41">
        <v>0.75771323487215869</v>
      </c>
      <c r="G457" s="41">
        <v>3.6038421660864999</v>
      </c>
      <c r="H457" s="41">
        <v>4.4565493861394359</v>
      </c>
      <c r="I457" s="41">
        <v>2.5307878643313426</v>
      </c>
      <c r="J457" s="41">
        <v>1.34</v>
      </c>
      <c r="K457" s="41">
        <v>0.59</v>
      </c>
      <c r="L457" s="41">
        <v>164.6</v>
      </c>
      <c r="M457" s="41">
        <v>1.37</v>
      </c>
      <c r="N457" s="41">
        <v>3.41</v>
      </c>
      <c r="O457" s="41">
        <v>2.9649999999999999</v>
      </c>
    </row>
    <row r="458" spans="1:15">
      <c r="A458" t="s">
        <v>302</v>
      </c>
      <c r="B458" t="s">
        <v>339</v>
      </c>
      <c r="C458" t="s">
        <v>172</v>
      </c>
      <c r="D458" t="s">
        <v>322</v>
      </c>
      <c r="E458" t="s">
        <v>335</v>
      </c>
      <c r="F458" s="41">
        <v>0.71948936699307364</v>
      </c>
      <c r="G458" s="41">
        <v>4.1864022553914575</v>
      </c>
      <c r="H458" s="41">
        <v>4.5031330725839318</v>
      </c>
      <c r="I458" s="41">
        <v>2.3171103621149176</v>
      </c>
      <c r="J458" s="41">
        <v>1.91</v>
      </c>
      <c r="K458" s="41">
        <v>0.63</v>
      </c>
      <c r="L458" s="41">
        <v>186</v>
      </c>
      <c r="M458" s="41">
        <v>2.14</v>
      </c>
      <c r="N458" s="41">
        <v>3.48</v>
      </c>
      <c r="O458" s="41">
        <v>3.2010000000000001</v>
      </c>
    </row>
    <row r="459" spans="1:15">
      <c r="A459" t="s">
        <v>303</v>
      </c>
      <c r="B459" t="s">
        <v>339</v>
      </c>
      <c r="C459" t="s">
        <v>172</v>
      </c>
      <c r="D459" t="s">
        <v>322</v>
      </c>
      <c r="E459" t="s">
        <v>335</v>
      </c>
      <c r="F459" s="41">
        <v>0.62168367043504114</v>
      </c>
      <c r="G459" s="41">
        <v>3.7611401027480267</v>
      </c>
      <c r="H459" s="41">
        <v>4.0973172297439993</v>
      </c>
      <c r="I459" s="41">
        <v>2.3132872666204309</v>
      </c>
      <c r="J459" s="41">
        <v>1.62</v>
      </c>
      <c r="K459" s="41">
        <v>0.48</v>
      </c>
      <c r="L459" s="41">
        <v>165.6</v>
      </c>
      <c r="M459" s="41">
        <v>1.2</v>
      </c>
      <c r="N459" s="41">
        <v>3.4</v>
      </c>
      <c r="O459" s="41">
        <v>2.976</v>
      </c>
    </row>
    <row r="460" spans="1:15">
      <c r="A460" t="s">
        <v>304</v>
      </c>
      <c r="B460" t="s">
        <v>339</v>
      </c>
      <c r="C460" t="s">
        <v>172</v>
      </c>
      <c r="D460" t="s">
        <v>322</v>
      </c>
      <c r="E460" t="s">
        <v>335</v>
      </c>
      <c r="F460" s="41">
        <v>0.7684314919250359</v>
      </c>
      <c r="G460" s="41">
        <v>3.7642128161951249</v>
      </c>
      <c r="H460" s="41">
        <v>4.4516592031943842</v>
      </c>
      <c r="I460" s="41">
        <v>1.6152228200097343</v>
      </c>
      <c r="J460" s="41">
        <v>1.08</v>
      </c>
      <c r="K460" s="41">
        <v>0.41</v>
      </c>
      <c r="L460" s="41">
        <v>177.1</v>
      </c>
      <c r="M460" s="41">
        <v>1.1000000000000001</v>
      </c>
      <c r="N460" s="41">
        <v>3.52</v>
      </c>
      <c r="O460" s="41">
        <v>2.657</v>
      </c>
    </row>
    <row r="461" spans="1:15">
      <c r="A461" t="s">
        <v>305</v>
      </c>
      <c r="B461" t="s">
        <v>339</v>
      </c>
      <c r="C461" t="s">
        <v>176</v>
      </c>
      <c r="D461" t="s">
        <v>322</v>
      </c>
      <c r="E461" t="s">
        <v>336</v>
      </c>
      <c r="F461" s="41">
        <v>0.40266253832282117</v>
      </c>
      <c r="G461" s="41">
        <v>2.4743043723231377</v>
      </c>
      <c r="H461" s="41">
        <v>4.4018740684475111</v>
      </c>
      <c r="I461" s="41">
        <v>2.1149826326028895</v>
      </c>
      <c r="J461" s="41">
        <v>0</v>
      </c>
      <c r="K461" s="41">
        <v>0.26</v>
      </c>
      <c r="L461" s="41">
        <v>183.5</v>
      </c>
      <c r="M461" s="41">
        <v>1.08</v>
      </c>
      <c r="N461" s="41">
        <v>4.1100000000000003</v>
      </c>
      <c r="O461" s="41">
        <v>1.647</v>
      </c>
    </row>
    <row r="462" spans="1:15">
      <c r="A462" t="s">
        <v>306</v>
      </c>
      <c r="B462" t="s">
        <v>339</v>
      </c>
      <c r="C462" t="s">
        <v>176</v>
      </c>
      <c r="D462" t="s">
        <v>322</v>
      </c>
      <c r="E462" t="s">
        <v>336</v>
      </c>
      <c r="F462" s="41" t="e">
        <v>#VALUE!</v>
      </c>
      <c r="G462" s="41" t="e">
        <v>#VALUE!</v>
      </c>
      <c r="H462" s="41" t="e">
        <v>#VALUE!</v>
      </c>
      <c r="I462" s="41" t="e">
        <v>#VALUE!</v>
      </c>
      <c r="J462" s="41">
        <v>0</v>
      </c>
      <c r="K462" s="41">
        <v>0.37</v>
      </c>
      <c r="L462" s="41">
        <v>176.5</v>
      </c>
      <c r="M462" s="41">
        <v>0.35</v>
      </c>
      <c r="N462" s="41">
        <v>4.08</v>
      </c>
      <c r="O462" s="41">
        <v>1.8080000000000001</v>
      </c>
    </row>
    <row r="463" spans="1:15">
      <c r="A463" t="s">
        <v>307</v>
      </c>
      <c r="B463" t="s">
        <v>339</v>
      </c>
      <c r="C463" t="s">
        <v>176</v>
      </c>
      <c r="D463" t="s">
        <v>322</v>
      </c>
      <c r="E463" t="s">
        <v>336</v>
      </c>
      <c r="F463" s="41" t="e">
        <v>#VALUE!</v>
      </c>
      <c r="G463" s="41" t="e">
        <v>#VALUE!</v>
      </c>
      <c r="H463" s="41" t="e">
        <v>#VALUE!</v>
      </c>
      <c r="I463" s="41" t="e">
        <v>#VALUE!</v>
      </c>
      <c r="J463" s="41">
        <v>0</v>
      </c>
      <c r="K463" s="41">
        <v>0.34</v>
      </c>
      <c r="L463" s="41">
        <v>176</v>
      </c>
      <c r="M463" s="41">
        <v>0.39</v>
      </c>
      <c r="N463" s="41">
        <v>3.99</v>
      </c>
      <c r="O463" s="41">
        <v>1.641</v>
      </c>
    </row>
    <row r="464" spans="1:15">
      <c r="A464" t="s">
        <v>308</v>
      </c>
      <c r="B464" t="s">
        <v>339</v>
      </c>
      <c r="C464" t="s">
        <v>180</v>
      </c>
      <c r="D464" t="s">
        <v>322</v>
      </c>
      <c r="E464" t="s">
        <v>336</v>
      </c>
      <c r="F464" s="41">
        <v>0.4294867846044424</v>
      </c>
      <c r="G464" s="41">
        <v>2.9640764189249249</v>
      </c>
      <c r="H464" s="41">
        <v>4.8629871697858613</v>
      </c>
      <c r="I464" s="41">
        <v>1.0062402246345139</v>
      </c>
      <c r="J464" s="41">
        <v>0</v>
      </c>
      <c r="K464" s="41">
        <v>0.41</v>
      </c>
      <c r="L464" s="41">
        <v>202.2</v>
      </c>
      <c r="M464" s="41">
        <v>0.44</v>
      </c>
      <c r="N464" s="41">
        <v>3.85</v>
      </c>
      <c r="O464" s="41">
        <v>1.74</v>
      </c>
    </row>
    <row r="465" spans="1:15">
      <c r="A465" t="s">
        <v>309</v>
      </c>
      <c r="B465" t="s">
        <v>339</v>
      </c>
      <c r="C465" t="s">
        <v>180</v>
      </c>
      <c r="D465" t="s">
        <v>322</v>
      </c>
      <c r="E465" t="s">
        <v>336</v>
      </c>
      <c r="F465" s="41">
        <v>0.46688328125081519</v>
      </c>
      <c r="G465" s="41">
        <v>2.8925559962676615</v>
      </c>
      <c r="H465" s="41">
        <v>4.7676499382340776</v>
      </c>
      <c r="I465" s="41">
        <v>2.356678282618677</v>
      </c>
      <c r="J465" s="41">
        <v>0</v>
      </c>
      <c r="K465" s="41">
        <v>0.37</v>
      </c>
      <c r="L465" s="41">
        <v>203.7</v>
      </c>
      <c r="M465" s="41">
        <v>0.83</v>
      </c>
      <c r="N465" s="41">
        <v>4.07</v>
      </c>
      <c r="O465" s="41">
        <v>1.5249999999999999</v>
      </c>
    </row>
    <row r="466" spans="1:15">
      <c r="A466" t="s">
        <v>310</v>
      </c>
      <c r="B466" t="s">
        <v>339</v>
      </c>
      <c r="C466" t="s">
        <v>180</v>
      </c>
      <c r="D466" t="s">
        <v>322</v>
      </c>
      <c r="E466" t="s">
        <v>336</v>
      </c>
      <c r="F466" s="41">
        <v>0.3819244655672821</v>
      </c>
      <c r="G466" s="41">
        <v>2.9130007015721739</v>
      </c>
      <c r="H466" s="41">
        <v>4.6832633454106887</v>
      </c>
      <c r="I466" s="41">
        <v>2.3063982423024898</v>
      </c>
      <c r="J466" s="41">
        <v>0</v>
      </c>
      <c r="K466" s="41">
        <v>0.33</v>
      </c>
      <c r="L466" s="41">
        <v>190.4</v>
      </c>
      <c r="M466" s="41">
        <v>0.7</v>
      </c>
      <c r="N466" s="41">
        <v>3.81</v>
      </c>
      <c r="O466" s="41">
        <v>1.633</v>
      </c>
    </row>
    <row r="467" spans="1:15">
      <c r="A467" t="s">
        <v>311</v>
      </c>
      <c r="B467" t="s">
        <v>339</v>
      </c>
      <c r="C467" t="s">
        <v>184</v>
      </c>
      <c r="D467" t="s">
        <v>322</v>
      </c>
      <c r="E467" t="s">
        <v>336</v>
      </c>
      <c r="F467" s="41">
        <v>0.44845826181768861</v>
      </c>
      <c r="G467" s="41">
        <v>2.5716694443893733</v>
      </c>
      <c r="H467" s="41">
        <v>5.2283288544811031</v>
      </c>
      <c r="I467" s="41">
        <v>2.384441557385073</v>
      </c>
      <c r="J467" s="41">
        <v>0</v>
      </c>
      <c r="K467" s="41">
        <v>0.35</v>
      </c>
      <c r="L467" s="41">
        <v>204.6</v>
      </c>
      <c r="M467" s="41">
        <v>7.0000000000000007E-2</v>
      </c>
      <c r="N467" s="41">
        <v>3.93</v>
      </c>
      <c r="O467" s="41">
        <v>1.583</v>
      </c>
    </row>
    <row r="468" spans="1:15">
      <c r="A468" t="s">
        <v>312</v>
      </c>
      <c r="B468" t="s">
        <v>339</v>
      </c>
      <c r="C468" t="s">
        <v>184</v>
      </c>
      <c r="D468" t="s">
        <v>322</v>
      </c>
      <c r="E468" t="s">
        <v>336</v>
      </c>
      <c r="F468" s="41">
        <v>0.49393550288757998</v>
      </c>
      <c r="G468" s="41">
        <v>2.9101063486206145</v>
      </c>
      <c r="H468" s="41">
        <v>5.1123544961684075</v>
      </c>
      <c r="I468" s="41">
        <v>2.6682881394024545</v>
      </c>
      <c r="J468" s="41">
        <v>0</v>
      </c>
      <c r="K468" s="41">
        <v>0.34</v>
      </c>
      <c r="L468" s="41">
        <v>221.7</v>
      </c>
      <c r="M468" s="41">
        <v>0.05</v>
      </c>
      <c r="N468" s="41">
        <v>3.96</v>
      </c>
      <c r="O468" s="41">
        <v>2.004</v>
      </c>
    </row>
    <row r="469" spans="1:15">
      <c r="A469" t="s">
        <v>313</v>
      </c>
      <c r="B469" t="s">
        <v>339</v>
      </c>
      <c r="C469" t="s">
        <v>184</v>
      </c>
      <c r="D469" t="s">
        <v>322</v>
      </c>
      <c r="E469" t="s">
        <v>336</v>
      </c>
      <c r="F469" s="41">
        <v>0.48979437752261112</v>
      </c>
      <c r="G469" s="41">
        <v>3.0559673190158034</v>
      </c>
      <c r="H469" s="41">
        <v>4.9025054806533328</v>
      </c>
      <c r="I469" s="41">
        <v>3.1565563082285557</v>
      </c>
      <c r="J469" s="41">
        <v>0</v>
      </c>
      <c r="K469" s="41">
        <v>0.43</v>
      </c>
      <c r="L469" s="41">
        <v>203.8</v>
      </c>
      <c r="M469" s="41">
        <v>0</v>
      </c>
      <c r="N469" s="41">
        <v>4.0199999999999996</v>
      </c>
      <c r="O469" s="41">
        <v>1.915</v>
      </c>
    </row>
    <row r="470" spans="1:15">
      <c r="A470" t="s">
        <v>296</v>
      </c>
      <c r="B470" t="s">
        <v>339</v>
      </c>
      <c r="C470" t="s">
        <v>164</v>
      </c>
      <c r="D470" t="s">
        <v>148</v>
      </c>
      <c r="E470" t="s">
        <v>335</v>
      </c>
      <c r="F470" s="41">
        <v>0.71022690762004625</v>
      </c>
      <c r="G470" s="41">
        <v>3.756419423764302</v>
      </c>
      <c r="H470" s="41">
        <v>5.1986165125558026</v>
      </c>
      <c r="I470" s="41">
        <v>1.9770993027395427</v>
      </c>
      <c r="J470" s="41">
        <v>1.81</v>
      </c>
      <c r="K470" s="41">
        <v>0.57999999999999996</v>
      </c>
      <c r="L470" s="41">
        <v>190.6</v>
      </c>
      <c r="M470" s="41">
        <v>2.15</v>
      </c>
      <c r="N470" s="41">
        <v>3.59</v>
      </c>
      <c r="O470" s="41">
        <v>3.0030000000000001</v>
      </c>
    </row>
    <row r="471" spans="1:15">
      <c r="A471" t="s">
        <v>297</v>
      </c>
      <c r="B471" t="s">
        <v>339</v>
      </c>
      <c r="C471" t="s">
        <v>164</v>
      </c>
      <c r="D471" t="s">
        <v>148</v>
      </c>
      <c r="E471" t="s">
        <v>335</v>
      </c>
      <c r="F471" s="41">
        <v>0.76638398293015031</v>
      </c>
      <c r="G471" s="41">
        <v>3.711956395082983</v>
      </c>
      <c r="H471" s="41">
        <v>4.9921705693781435</v>
      </c>
      <c r="I471" s="41">
        <v>1.8956546995796031</v>
      </c>
      <c r="J471" s="41">
        <v>1.62</v>
      </c>
      <c r="K471" s="41">
        <v>0.54</v>
      </c>
      <c r="L471" s="41">
        <v>219.7</v>
      </c>
      <c r="M471" s="41">
        <v>1.93</v>
      </c>
      <c r="N471" s="41">
        <v>3.45</v>
      </c>
      <c r="O471" s="41">
        <v>2.9350000000000001</v>
      </c>
    </row>
    <row r="472" spans="1:15">
      <c r="A472" t="s">
        <v>298</v>
      </c>
      <c r="B472" t="s">
        <v>339</v>
      </c>
      <c r="C472" t="s">
        <v>164</v>
      </c>
      <c r="D472" t="s">
        <v>148</v>
      </c>
      <c r="E472" t="s">
        <v>335</v>
      </c>
      <c r="F472" s="41">
        <v>0.94797617246530297</v>
      </c>
      <c r="G472" s="41">
        <v>3.6613329871305953</v>
      </c>
      <c r="H472" s="41">
        <v>5.351431529207157</v>
      </c>
      <c r="I472" s="41">
        <v>1.3000179120241235</v>
      </c>
      <c r="J472" s="41">
        <v>1.36</v>
      </c>
      <c r="K472" s="41">
        <v>0.37</v>
      </c>
      <c r="L472" s="41">
        <v>198.1</v>
      </c>
      <c r="M472" s="41">
        <v>1.67</v>
      </c>
      <c r="N472" s="41">
        <v>3.51</v>
      </c>
      <c r="O472" s="41">
        <v>2.7959999999999998</v>
      </c>
    </row>
    <row r="473" spans="1:15">
      <c r="A473" t="s">
        <v>299</v>
      </c>
      <c r="B473" t="s">
        <v>339</v>
      </c>
      <c r="C473" t="s">
        <v>168</v>
      </c>
      <c r="D473" t="s">
        <v>148</v>
      </c>
      <c r="E473" t="s">
        <v>335</v>
      </c>
      <c r="F473" s="41">
        <v>0.80276953268330176</v>
      </c>
      <c r="G473" s="41">
        <v>3.1852172667336474</v>
      </c>
      <c r="H473" s="41">
        <v>4.8414112644491096</v>
      </c>
      <c r="I473" s="41">
        <v>2.1906352088265426</v>
      </c>
      <c r="J473" s="41">
        <v>1.28</v>
      </c>
      <c r="K473" s="41">
        <v>0.42</v>
      </c>
      <c r="L473" s="41">
        <v>201.8</v>
      </c>
      <c r="M473" s="41">
        <v>1.51</v>
      </c>
      <c r="N473" s="41">
        <v>4.54</v>
      </c>
      <c r="O473" s="41">
        <v>2.5539999999999998</v>
      </c>
    </row>
    <row r="474" spans="1:15">
      <c r="A474" t="s">
        <v>300</v>
      </c>
      <c r="B474" t="s">
        <v>339</v>
      </c>
      <c r="C474" t="s">
        <v>168</v>
      </c>
      <c r="D474" t="s">
        <v>148</v>
      </c>
      <c r="E474" t="s">
        <v>335</v>
      </c>
      <c r="F474" s="41">
        <v>0.72680080132301761</v>
      </c>
      <c r="G474" s="41">
        <v>3.2052497136472731</v>
      </c>
      <c r="H474" s="41">
        <v>4.5931576708315349</v>
      </c>
      <c r="I474" s="41">
        <v>2.2667483450922212</v>
      </c>
      <c r="J474" s="41">
        <v>1.68</v>
      </c>
      <c r="K474" s="41">
        <v>0.59</v>
      </c>
      <c r="L474" s="41">
        <v>185.1</v>
      </c>
      <c r="M474" s="41">
        <v>1.47</v>
      </c>
      <c r="N474" s="41">
        <v>3.52</v>
      </c>
      <c r="O474" s="41">
        <v>2.996</v>
      </c>
    </row>
    <row r="475" spans="1:15">
      <c r="A475" t="s">
        <v>301</v>
      </c>
      <c r="B475" t="s">
        <v>339</v>
      </c>
      <c r="C475" t="s">
        <v>168</v>
      </c>
      <c r="D475" t="s">
        <v>148</v>
      </c>
      <c r="E475" t="s">
        <v>335</v>
      </c>
      <c r="F475" s="41">
        <v>0.75771323487215869</v>
      </c>
      <c r="G475" s="41">
        <v>3.6038421660864999</v>
      </c>
      <c r="H475" s="41">
        <v>4.4565493861394359</v>
      </c>
      <c r="I475" s="41">
        <v>2.5307878643313426</v>
      </c>
      <c r="J475" s="41">
        <v>1.34</v>
      </c>
      <c r="K475" s="41">
        <v>0.59</v>
      </c>
      <c r="L475" s="41">
        <v>164.6</v>
      </c>
      <c r="M475" s="41">
        <v>1.37</v>
      </c>
      <c r="N475" s="41">
        <v>3.41</v>
      </c>
      <c r="O475" s="41">
        <v>2.9649999999999999</v>
      </c>
    </row>
    <row r="476" spans="1:15">
      <c r="A476" t="s">
        <v>302</v>
      </c>
      <c r="B476" t="s">
        <v>339</v>
      </c>
      <c r="C476" t="s">
        <v>172</v>
      </c>
      <c r="D476" t="s">
        <v>148</v>
      </c>
      <c r="E476" t="s">
        <v>335</v>
      </c>
      <c r="F476" s="41">
        <v>0.71948936699307364</v>
      </c>
      <c r="G476" s="41">
        <v>4.1864022553914575</v>
      </c>
      <c r="H476" s="41">
        <v>4.5031330725839318</v>
      </c>
      <c r="I476" s="41">
        <v>2.3171103621149176</v>
      </c>
      <c r="J476" s="41">
        <v>1.91</v>
      </c>
      <c r="K476" s="41">
        <v>0.63</v>
      </c>
      <c r="L476" s="41">
        <v>186</v>
      </c>
      <c r="M476" s="41">
        <v>2.14</v>
      </c>
      <c r="N476" s="41">
        <v>3.48</v>
      </c>
      <c r="O476" s="41">
        <v>3.2010000000000001</v>
      </c>
    </row>
    <row r="477" spans="1:15">
      <c r="A477" t="s">
        <v>303</v>
      </c>
      <c r="B477" t="s">
        <v>339</v>
      </c>
      <c r="C477" t="s">
        <v>172</v>
      </c>
      <c r="D477" t="s">
        <v>148</v>
      </c>
      <c r="E477" t="s">
        <v>335</v>
      </c>
      <c r="F477" s="41">
        <v>0.62168367043504114</v>
      </c>
      <c r="G477" s="41">
        <v>3.7611401027480267</v>
      </c>
      <c r="H477" s="41">
        <v>4.0973172297439993</v>
      </c>
      <c r="I477" s="41">
        <v>2.3132872666204309</v>
      </c>
      <c r="J477" s="41">
        <v>1.62</v>
      </c>
      <c r="K477" s="41">
        <v>0.48</v>
      </c>
      <c r="L477" s="41">
        <v>165.6</v>
      </c>
      <c r="M477" s="41">
        <v>1.2</v>
      </c>
      <c r="N477" s="41">
        <v>3.4</v>
      </c>
      <c r="O477" s="41">
        <v>2.976</v>
      </c>
    </row>
    <row r="478" spans="1:15">
      <c r="A478" t="s">
        <v>304</v>
      </c>
      <c r="B478" t="s">
        <v>339</v>
      </c>
      <c r="C478" t="s">
        <v>172</v>
      </c>
      <c r="D478" t="s">
        <v>148</v>
      </c>
      <c r="E478" t="s">
        <v>335</v>
      </c>
      <c r="F478" s="41">
        <v>0.7684314919250359</v>
      </c>
      <c r="G478" s="41">
        <v>3.7642128161951249</v>
      </c>
      <c r="H478" s="41">
        <v>4.4516592031943842</v>
      </c>
      <c r="I478" s="41">
        <v>1.6152228200097343</v>
      </c>
      <c r="J478" s="41">
        <v>1.08</v>
      </c>
      <c r="K478" s="41">
        <v>0.41</v>
      </c>
      <c r="L478" s="41">
        <v>177.1</v>
      </c>
      <c r="M478" s="41">
        <v>1.1000000000000001</v>
      </c>
      <c r="N478" s="41">
        <v>3.52</v>
      </c>
      <c r="O478" s="41">
        <v>2.657</v>
      </c>
    </row>
    <row r="479" spans="1:15">
      <c r="A479" t="s">
        <v>305</v>
      </c>
      <c r="B479" t="s">
        <v>339</v>
      </c>
      <c r="C479" t="s">
        <v>176</v>
      </c>
      <c r="D479" t="s">
        <v>148</v>
      </c>
      <c r="E479" t="s">
        <v>336</v>
      </c>
      <c r="F479" s="41">
        <v>0.40266253832282117</v>
      </c>
      <c r="G479" s="41">
        <v>2.4743043723231377</v>
      </c>
      <c r="H479" s="41">
        <v>4.4018740684475111</v>
      </c>
      <c r="I479" s="41">
        <v>2.1149826326028895</v>
      </c>
      <c r="J479" s="41">
        <v>0</v>
      </c>
      <c r="K479" s="41">
        <v>0.26</v>
      </c>
      <c r="L479" s="41">
        <v>183.5</v>
      </c>
      <c r="M479" s="41">
        <v>1.08</v>
      </c>
      <c r="N479" s="41">
        <v>4.1100000000000003</v>
      </c>
      <c r="O479" s="41">
        <v>1.647</v>
      </c>
    </row>
    <row r="480" spans="1:15">
      <c r="A480" t="s">
        <v>306</v>
      </c>
      <c r="B480" t="s">
        <v>339</v>
      </c>
      <c r="C480" t="s">
        <v>176</v>
      </c>
      <c r="D480" t="s">
        <v>148</v>
      </c>
      <c r="E480" t="s">
        <v>336</v>
      </c>
      <c r="F480" s="41" t="e">
        <v>#VALUE!</v>
      </c>
      <c r="G480" s="41" t="e">
        <v>#VALUE!</v>
      </c>
      <c r="H480" s="41" t="e">
        <v>#VALUE!</v>
      </c>
      <c r="I480" s="41" t="e">
        <v>#VALUE!</v>
      </c>
      <c r="J480" s="41">
        <v>0</v>
      </c>
      <c r="K480" s="41">
        <v>0.37</v>
      </c>
      <c r="L480" s="41">
        <v>176.5</v>
      </c>
      <c r="M480" s="41">
        <v>0.35</v>
      </c>
      <c r="N480" s="41">
        <v>4.08</v>
      </c>
      <c r="O480" s="41">
        <v>1.8080000000000001</v>
      </c>
    </row>
    <row r="481" spans="1:15">
      <c r="A481" t="s">
        <v>307</v>
      </c>
      <c r="B481" t="s">
        <v>339</v>
      </c>
      <c r="C481" t="s">
        <v>176</v>
      </c>
      <c r="D481" t="s">
        <v>148</v>
      </c>
      <c r="E481" t="s">
        <v>336</v>
      </c>
      <c r="F481" s="41" t="e">
        <v>#VALUE!</v>
      </c>
      <c r="G481" s="41" t="e">
        <v>#VALUE!</v>
      </c>
      <c r="H481" s="41" t="e">
        <v>#VALUE!</v>
      </c>
      <c r="I481" s="41" t="e">
        <v>#VALUE!</v>
      </c>
      <c r="J481" s="41">
        <v>0</v>
      </c>
      <c r="K481" s="41">
        <v>0.34</v>
      </c>
      <c r="L481" s="41">
        <v>176</v>
      </c>
      <c r="M481" s="41">
        <v>0.39</v>
      </c>
      <c r="N481" s="41">
        <v>3.99</v>
      </c>
      <c r="O481" s="41">
        <v>1.641</v>
      </c>
    </row>
    <row r="482" spans="1:15">
      <c r="A482" t="s">
        <v>308</v>
      </c>
      <c r="B482" t="s">
        <v>339</v>
      </c>
      <c r="C482" t="s">
        <v>180</v>
      </c>
      <c r="D482" t="s">
        <v>148</v>
      </c>
      <c r="E482" t="s">
        <v>336</v>
      </c>
      <c r="F482" s="41">
        <v>0.4294867846044424</v>
      </c>
      <c r="G482" s="41">
        <v>2.9640764189249249</v>
      </c>
      <c r="H482" s="41">
        <v>4.8629871697858613</v>
      </c>
      <c r="I482" s="41">
        <v>1.0062402246345139</v>
      </c>
      <c r="J482" s="41">
        <v>0</v>
      </c>
      <c r="K482" s="41">
        <v>0.41</v>
      </c>
      <c r="L482" s="41">
        <v>202.2</v>
      </c>
      <c r="M482" s="41">
        <v>0.44</v>
      </c>
      <c r="N482" s="41">
        <v>3.85</v>
      </c>
      <c r="O482" s="41">
        <v>1.74</v>
      </c>
    </row>
    <row r="483" spans="1:15">
      <c r="A483" t="s">
        <v>309</v>
      </c>
      <c r="B483" t="s">
        <v>339</v>
      </c>
      <c r="C483" t="s">
        <v>180</v>
      </c>
      <c r="D483" t="s">
        <v>148</v>
      </c>
      <c r="E483" t="s">
        <v>336</v>
      </c>
      <c r="F483" s="41">
        <v>0.46688328125081519</v>
      </c>
      <c r="G483" s="41">
        <v>2.8925559962676615</v>
      </c>
      <c r="H483" s="41">
        <v>4.7676499382340776</v>
      </c>
      <c r="I483" s="41">
        <v>2.356678282618677</v>
      </c>
      <c r="J483" s="41">
        <v>0</v>
      </c>
      <c r="K483" s="41">
        <v>0.37</v>
      </c>
      <c r="L483" s="41">
        <v>203.7</v>
      </c>
      <c r="M483" s="41">
        <v>0.83</v>
      </c>
      <c r="N483" s="41">
        <v>4.07</v>
      </c>
      <c r="O483" s="41">
        <v>1.5249999999999999</v>
      </c>
    </row>
    <row r="484" spans="1:15">
      <c r="A484" t="s">
        <v>310</v>
      </c>
      <c r="B484" t="s">
        <v>339</v>
      </c>
      <c r="C484" t="s">
        <v>180</v>
      </c>
      <c r="D484" t="s">
        <v>148</v>
      </c>
      <c r="E484" t="s">
        <v>336</v>
      </c>
      <c r="F484" s="41">
        <v>0.3819244655672821</v>
      </c>
      <c r="G484" s="41">
        <v>2.9130007015721739</v>
      </c>
      <c r="H484" s="41">
        <v>4.6832633454106887</v>
      </c>
      <c r="I484" s="41">
        <v>2.3063982423024898</v>
      </c>
      <c r="J484" s="41">
        <v>0</v>
      </c>
      <c r="K484" s="41">
        <v>0.33</v>
      </c>
      <c r="L484" s="41">
        <v>190.4</v>
      </c>
      <c r="M484" s="41">
        <v>0.7</v>
      </c>
      <c r="N484" s="41">
        <v>3.81</v>
      </c>
      <c r="O484" s="41">
        <v>1.633</v>
      </c>
    </row>
    <row r="485" spans="1:15">
      <c r="A485" t="s">
        <v>311</v>
      </c>
      <c r="B485" t="s">
        <v>339</v>
      </c>
      <c r="C485" t="s">
        <v>184</v>
      </c>
      <c r="D485" t="s">
        <v>148</v>
      </c>
      <c r="E485" t="s">
        <v>336</v>
      </c>
      <c r="F485" s="41">
        <v>0.44845826181768861</v>
      </c>
      <c r="G485" s="41">
        <v>2.5716694443893733</v>
      </c>
      <c r="H485" s="41">
        <v>5.2283288544811031</v>
      </c>
      <c r="I485" s="41">
        <v>2.384441557385073</v>
      </c>
      <c r="J485" s="41">
        <v>0</v>
      </c>
      <c r="K485" s="41">
        <v>0.35</v>
      </c>
      <c r="L485" s="41">
        <v>204.6</v>
      </c>
      <c r="M485" s="41">
        <v>7.0000000000000007E-2</v>
      </c>
      <c r="N485" s="41">
        <v>3.93</v>
      </c>
      <c r="O485" s="41">
        <v>1.583</v>
      </c>
    </row>
    <row r="486" spans="1:15">
      <c r="A486" t="s">
        <v>312</v>
      </c>
      <c r="B486" t="s">
        <v>339</v>
      </c>
      <c r="C486" t="s">
        <v>184</v>
      </c>
      <c r="D486" t="s">
        <v>148</v>
      </c>
      <c r="E486" t="s">
        <v>336</v>
      </c>
      <c r="F486" s="41">
        <v>0.49393550288757998</v>
      </c>
      <c r="G486" s="41">
        <v>2.9101063486206145</v>
      </c>
      <c r="H486" s="41">
        <v>5.1123544961684075</v>
      </c>
      <c r="I486" s="41">
        <v>2.6682881394024545</v>
      </c>
      <c r="J486" s="41">
        <v>0</v>
      </c>
      <c r="K486" s="41">
        <v>0.34</v>
      </c>
      <c r="L486" s="41">
        <v>221.7</v>
      </c>
      <c r="M486" s="41">
        <v>0.05</v>
      </c>
      <c r="N486" s="41">
        <v>3.96</v>
      </c>
      <c r="O486" s="41">
        <v>2.004</v>
      </c>
    </row>
    <row r="487" spans="1:15">
      <c r="A487" t="s">
        <v>313</v>
      </c>
      <c r="B487" t="s">
        <v>339</v>
      </c>
      <c r="C487" t="s">
        <v>184</v>
      </c>
      <c r="D487" t="s">
        <v>148</v>
      </c>
      <c r="E487" t="s">
        <v>336</v>
      </c>
      <c r="F487" s="41">
        <v>0.48979437752261112</v>
      </c>
      <c r="G487" s="41">
        <v>3.0559673190158034</v>
      </c>
      <c r="H487" s="41">
        <v>4.9025054806533328</v>
      </c>
      <c r="I487" s="41">
        <v>3.1565563082285557</v>
      </c>
      <c r="J487" s="41">
        <v>0</v>
      </c>
      <c r="K487" s="41">
        <v>0.43</v>
      </c>
      <c r="L487" s="41">
        <v>203.8</v>
      </c>
      <c r="M487" s="41">
        <v>0</v>
      </c>
      <c r="N487" s="41">
        <v>4.0199999999999996</v>
      </c>
      <c r="O487" s="41">
        <v>1.915</v>
      </c>
    </row>
    <row r="488" spans="1:15">
      <c r="A488" t="s">
        <v>296</v>
      </c>
      <c r="B488" t="s">
        <v>339</v>
      </c>
      <c r="C488" t="s">
        <v>164</v>
      </c>
      <c r="D488" t="s">
        <v>323</v>
      </c>
      <c r="E488" t="s">
        <v>335</v>
      </c>
      <c r="F488" s="41">
        <v>0.71022690762004625</v>
      </c>
      <c r="G488" s="41">
        <v>3.756419423764302</v>
      </c>
      <c r="H488" s="41">
        <v>5.1986165125558026</v>
      </c>
      <c r="I488" s="41">
        <v>1.9770993027395427</v>
      </c>
      <c r="J488" s="41">
        <v>1.81</v>
      </c>
      <c r="K488" s="41">
        <v>0.57999999999999996</v>
      </c>
      <c r="L488" s="41">
        <v>190.6</v>
      </c>
      <c r="M488" s="41">
        <v>2.15</v>
      </c>
      <c r="N488" s="41">
        <v>3.59</v>
      </c>
      <c r="O488" s="41">
        <v>3.0030000000000001</v>
      </c>
    </row>
    <row r="489" spans="1:15">
      <c r="A489" t="s">
        <v>297</v>
      </c>
      <c r="B489" t="s">
        <v>339</v>
      </c>
      <c r="C489" t="s">
        <v>164</v>
      </c>
      <c r="D489" t="s">
        <v>323</v>
      </c>
      <c r="E489" t="s">
        <v>335</v>
      </c>
      <c r="F489" s="41">
        <v>0.76638398293015031</v>
      </c>
      <c r="G489" s="41">
        <v>3.711956395082983</v>
      </c>
      <c r="H489" s="41">
        <v>4.9921705693781435</v>
      </c>
      <c r="I489" s="41">
        <v>1.8956546995796031</v>
      </c>
      <c r="J489" s="41">
        <v>1.62</v>
      </c>
      <c r="K489" s="41">
        <v>0.54</v>
      </c>
      <c r="L489" s="41">
        <v>219.7</v>
      </c>
      <c r="M489" s="41">
        <v>1.93</v>
      </c>
      <c r="N489" s="41">
        <v>3.45</v>
      </c>
      <c r="O489" s="41">
        <v>2.9350000000000001</v>
      </c>
    </row>
    <row r="490" spans="1:15">
      <c r="A490" t="s">
        <v>298</v>
      </c>
      <c r="B490" t="s">
        <v>339</v>
      </c>
      <c r="C490" t="s">
        <v>164</v>
      </c>
      <c r="D490" t="s">
        <v>323</v>
      </c>
      <c r="E490" t="s">
        <v>335</v>
      </c>
      <c r="F490" s="41">
        <v>0.94797617246530297</v>
      </c>
      <c r="G490" s="41">
        <v>3.6613329871305953</v>
      </c>
      <c r="H490" s="41">
        <v>5.351431529207157</v>
      </c>
      <c r="I490" s="41">
        <v>1.3000179120241235</v>
      </c>
      <c r="J490" s="41">
        <v>1.36</v>
      </c>
      <c r="K490" s="41">
        <v>0.37</v>
      </c>
      <c r="L490" s="41">
        <v>198.1</v>
      </c>
      <c r="M490" s="41">
        <v>1.67</v>
      </c>
      <c r="N490" s="41">
        <v>3.51</v>
      </c>
      <c r="O490" s="41">
        <v>2.7959999999999998</v>
      </c>
    </row>
    <row r="491" spans="1:15">
      <c r="A491" t="s">
        <v>299</v>
      </c>
      <c r="B491" t="s">
        <v>339</v>
      </c>
      <c r="C491" t="s">
        <v>168</v>
      </c>
      <c r="D491" t="s">
        <v>323</v>
      </c>
      <c r="E491" t="s">
        <v>335</v>
      </c>
      <c r="F491" s="41">
        <v>0.80276953268330176</v>
      </c>
      <c r="G491" s="41">
        <v>3.1852172667336474</v>
      </c>
      <c r="H491" s="41">
        <v>4.8414112644491096</v>
      </c>
      <c r="I491" s="41">
        <v>2.1906352088265426</v>
      </c>
      <c r="J491" s="41">
        <v>1.28</v>
      </c>
      <c r="K491" s="41">
        <v>0.42</v>
      </c>
      <c r="L491" s="41">
        <v>201.8</v>
      </c>
      <c r="M491" s="41">
        <v>1.51</v>
      </c>
      <c r="N491" s="41">
        <v>4.54</v>
      </c>
      <c r="O491" s="41">
        <v>2.5539999999999998</v>
      </c>
    </row>
    <row r="492" spans="1:15">
      <c r="A492" t="s">
        <v>300</v>
      </c>
      <c r="B492" t="s">
        <v>339</v>
      </c>
      <c r="C492" t="s">
        <v>168</v>
      </c>
      <c r="D492" t="s">
        <v>323</v>
      </c>
      <c r="E492" t="s">
        <v>335</v>
      </c>
      <c r="F492" s="41">
        <v>0.72680080132301761</v>
      </c>
      <c r="G492" s="41">
        <v>3.2052497136472731</v>
      </c>
      <c r="H492" s="41">
        <v>4.5931576708315349</v>
      </c>
      <c r="I492" s="41">
        <v>2.2667483450922212</v>
      </c>
      <c r="J492" s="41">
        <v>1.68</v>
      </c>
      <c r="K492" s="41">
        <v>0.59</v>
      </c>
      <c r="L492" s="41">
        <v>185.1</v>
      </c>
      <c r="M492" s="41">
        <v>1.47</v>
      </c>
      <c r="N492" s="41">
        <v>3.52</v>
      </c>
      <c r="O492" s="41">
        <v>2.996</v>
      </c>
    </row>
    <row r="493" spans="1:15">
      <c r="A493" t="s">
        <v>301</v>
      </c>
      <c r="B493" t="s">
        <v>339</v>
      </c>
      <c r="C493" t="s">
        <v>168</v>
      </c>
      <c r="D493" t="s">
        <v>323</v>
      </c>
      <c r="E493" t="s">
        <v>335</v>
      </c>
      <c r="F493" s="41">
        <v>0.75771323487215869</v>
      </c>
      <c r="G493" s="41">
        <v>3.6038421660864999</v>
      </c>
      <c r="H493" s="41">
        <v>4.4565493861394359</v>
      </c>
      <c r="I493" s="41">
        <v>2.5307878643313426</v>
      </c>
      <c r="J493" s="41">
        <v>1.34</v>
      </c>
      <c r="K493" s="41">
        <v>0.59</v>
      </c>
      <c r="L493" s="41">
        <v>164.6</v>
      </c>
      <c r="M493" s="41">
        <v>1.37</v>
      </c>
      <c r="N493" s="41">
        <v>3.41</v>
      </c>
      <c r="O493" s="41">
        <v>2.9649999999999999</v>
      </c>
    </row>
    <row r="494" spans="1:15">
      <c r="A494" t="s">
        <v>302</v>
      </c>
      <c r="B494" t="s">
        <v>339</v>
      </c>
      <c r="C494" t="s">
        <v>172</v>
      </c>
      <c r="D494" t="s">
        <v>323</v>
      </c>
      <c r="E494" t="s">
        <v>335</v>
      </c>
      <c r="F494" s="41">
        <v>0.71948936699307364</v>
      </c>
      <c r="G494" s="41">
        <v>4.1864022553914575</v>
      </c>
      <c r="H494" s="41">
        <v>4.5031330725839318</v>
      </c>
      <c r="I494" s="41">
        <v>2.3171103621149176</v>
      </c>
      <c r="J494" s="41">
        <v>1.91</v>
      </c>
      <c r="K494" s="41">
        <v>0.63</v>
      </c>
      <c r="L494" s="41">
        <v>186</v>
      </c>
      <c r="M494" s="41">
        <v>2.14</v>
      </c>
      <c r="N494" s="41">
        <v>3.48</v>
      </c>
      <c r="O494" s="41">
        <v>3.2010000000000001</v>
      </c>
    </row>
    <row r="495" spans="1:15">
      <c r="A495" t="s">
        <v>303</v>
      </c>
      <c r="B495" t="s">
        <v>339</v>
      </c>
      <c r="C495" t="s">
        <v>172</v>
      </c>
      <c r="D495" t="s">
        <v>323</v>
      </c>
      <c r="E495" t="s">
        <v>335</v>
      </c>
      <c r="F495" s="41">
        <v>0.62168367043504114</v>
      </c>
      <c r="G495" s="41">
        <v>3.7611401027480267</v>
      </c>
      <c r="H495" s="41">
        <v>4.0973172297439993</v>
      </c>
      <c r="I495" s="41">
        <v>2.3132872666204309</v>
      </c>
      <c r="J495" s="41">
        <v>1.62</v>
      </c>
      <c r="K495" s="41">
        <v>0.48</v>
      </c>
      <c r="L495" s="41">
        <v>165.6</v>
      </c>
      <c r="M495" s="41">
        <v>1.2</v>
      </c>
      <c r="N495" s="41">
        <v>3.4</v>
      </c>
      <c r="O495" s="41">
        <v>2.976</v>
      </c>
    </row>
    <row r="496" spans="1:15">
      <c r="A496" t="s">
        <v>304</v>
      </c>
      <c r="B496" t="s">
        <v>339</v>
      </c>
      <c r="C496" t="s">
        <v>172</v>
      </c>
      <c r="D496" t="s">
        <v>323</v>
      </c>
      <c r="E496" t="s">
        <v>335</v>
      </c>
      <c r="F496" s="41">
        <v>0.7684314919250359</v>
      </c>
      <c r="G496" s="41">
        <v>3.7642128161951249</v>
      </c>
      <c r="H496" s="41">
        <v>4.4516592031943842</v>
      </c>
      <c r="I496" s="41">
        <v>1.6152228200097343</v>
      </c>
      <c r="J496" s="41">
        <v>1.08</v>
      </c>
      <c r="K496" s="41">
        <v>0.41</v>
      </c>
      <c r="L496" s="41">
        <v>177.1</v>
      </c>
      <c r="M496" s="41">
        <v>1.1000000000000001</v>
      </c>
      <c r="N496" s="41">
        <v>3.52</v>
      </c>
      <c r="O496" s="41">
        <v>2.657</v>
      </c>
    </row>
    <row r="497" spans="1:15">
      <c r="A497" t="s">
        <v>305</v>
      </c>
      <c r="B497" t="s">
        <v>339</v>
      </c>
      <c r="C497" t="s">
        <v>176</v>
      </c>
      <c r="D497" t="s">
        <v>323</v>
      </c>
      <c r="E497" t="s">
        <v>336</v>
      </c>
      <c r="F497" s="41">
        <v>0.40266253832282117</v>
      </c>
      <c r="G497" s="41">
        <v>2.4743043723231377</v>
      </c>
      <c r="H497" s="41">
        <v>4.4018740684475111</v>
      </c>
      <c r="I497" s="41">
        <v>2.1149826326028895</v>
      </c>
      <c r="J497" s="41">
        <v>0</v>
      </c>
      <c r="K497" s="41">
        <v>0.26</v>
      </c>
      <c r="L497" s="41">
        <v>183.5</v>
      </c>
      <c r="M497" s="41">
        <v>1.08</v>
      </c>
      <c r="N497" s="41">
        <v>4.1100000000000003</v>
      </c>
      <c r="O497" s="41">
        <v>1.647</v>
      </c>
    </row>
    <row r="498" spans="1:15">
      <c r="A498" t="s">
        <v>306</v>
      </c>
      <c r="B498" t="s">
        <v>339</v>
      </c>
      <c r="C498" t="s">
        <v>176</v>
      </c>
      <c r="D498" t="s">
        <v>323</v>
      </c>
      <c r="E498" t="s">
        <v>336</v>
      </c>
      <c r="F498" s="41" t="e">
        <v>#VALUE!</v>
      </c>
      <c r="G498" s="41" t="e">
        <v>#VALUE!</v>
      </c>
      <c r="H498" s="41" t="e">
        <v>#VALUE!</v>
      </c>
      <c r="I498" s="41" t="e">
        <v>#VALUE!</v>
      </c>
      <c r="J498" s="41">
        <v>0</v>
      </c>
      <c r="K498" s="41">
        <v>0.37</v>
      </c>
      <c r="L498" s="41">
        <v>176.5</v>
      </c>
      <c r="M498" s="41">
        <v>0.35</v>
      </c>
      <c r="N498" s="41">
        <v>4.08</v>
      </c>
      <c r="O498" s="41">
        <v>1.8080000000000001</v>
      </c>
    </row>
    <row r="499" spans="1:15">
      <c r="A499" t="s">
        <v>307</v>
      </c>
      <c r="B499" t="s">
        <v>339</v>
      </c>
      <c r="C499" t="s">
        <v>176</v>
      </c>
      <c r="D499" t="s">
        <v>323</v>
      </c>
      <c r="E499" t="s">
        <v>336</v>
      </c>
      <c r="F499" s="41" t="e">
        <v>#VALUE!</v>
      </c>
      <c r="G499" s="41" t="e">
        <v>#VALUE!</v>
      </c>
      <c r="H499" s="41" t="e">
        <v>#VALUE!</v>
      </c>
      <c r="I499" s="41" t="e">
        <v>#VALUE!</v>
      </c>
      <c r="J499" s="41">
        <v>0</v>
      </c>
      <c r="K499" s="41">
        <v>0.34</v>
      </c>
      <c r="L499" s="41">
        <v>176</v>
      </c>
      <c r="M499" s="41">
        <v>0.39</v>
      </c>
      <c r="N499" s="41">
        <v>3.99</v>
      </c>
      <c r="O499" s="41">
        <v>1.641</v>
      </c>
    </row>
    <row r="500" spans="1:15">
      <c r="A500" t="s">
        <v>308</v>
      </c>
      <c r="B500" t="s">
        <v>339</v>
      </c>
      <c r="C500" t="s">
        <v>180</v>
      </c>
      <c r="D500" t="s">
        <v>323</v>
      </c>
      <c r="E500" t="s">
        <v>336</v>
      </c>
      <c r="F500" s="41">
        <v>0.4294867846044424</v>
      </c>
      <c r="G500" s="41">
        <v>2.9640764189249249</v>
      </c>
      <c r="H500" s="41">
        <v>4.8629871697858613</v>
      </c>
      <c r="I500" s="41">
        <v>1.0062402246345139</v>
      </c>
      <c r="J500" s="41">
        <v>0</v>
      </c>
      <c r="K500" s="41">
        <v>0.41</v>
      </c>
      <c r="L500" s="41">
        <v>202.2</v>
      </c>
      <c r="M500" s="41">
        <v>0.44</v>
      </c>
      <c r="N500" s="41">
        <v>3.85</v>
      </c>
      <c r="O500" s="41">
        <v>1.74</v>
      </c>
    </row>
    <row r="501" spans="1:15">
      <c r="A501" t="s">
        <v>309</v>
      </c>
      <c r="B501" t="s">
        <v>339</v>
      </c>
      <c r="C501" t="s">
        <v>180</v>
      </c>
      <c r="D501" t="s">
        <v>323</v>
      </c>
      <c r="E501" t="s">
        <v>336</v>
      </c>
      <c r="F501" s="41">
        <v>0.46688328125081519</v>
      </c>
      <c r="G501" s="41">
        <v>2.8925559962676615</v>
      </c>
      <c r="H501" s="41">
        <v>4.7676499382340776</v>
      </c>
      <c r="I501" s="41">
        <v>2.356678282618677</v>
      </c>
      <c r="J501" s="41">
        <v>0</v>
      </c>
      <c r="K501" s="41">
        <v>0.37</v>
      </c>
      <c r="L501" s="41">
        <v>203.7</v>
      </c>
      <c r="M501" s="41">
        <v>0.83</v>
      </c>
      <c r="N501" s="41">
        <v>4.07</v>
      </c>
      <c r="O501" s="41">
        <v>1.5249999999999999</v>
      </c>
    </row>
    <row r="502" spans="1:15">
      <c r="A502" t="s">
        <v>310</v>
      </c>
      <c r="B502" t="s">
        <v>339</v>
      </c>
      <c r="C502" t="s">
        <v>180</v>
      </c>
      <c r="D502" t="s">
        <v>323</v>
      </c>
      <c r="E502" t="s">
        <v>336</v>
      </c>
      <c r="F502" s="41">
        <v>0.3819244655672821</v>
      </c>
      <c r="G502" s="41">
        <v>2.9130007015721739</v>
      </c>
      <c r="H502" s="41">
        <v>4.6832633454106887</v>
      </c>
      <c r="I502" s="41">
        <v>2.3063982423024898</v>
      </c>
      <c r="J502" s="41">
        <v>0</v>
      </c>
      <c r="K502" s="41">
        <v>0.33</v>
      </c>
      <c r="L502" s="41">
        <v>190.4</v>
      </c>
      <c r="M502" s="41">
        <v>0.7</v>
      </c>
      <c r="N502" s="41">
        <v>3.81</v>
      </c>
      <c r="O502" s="41">
        <v>1.633</v>
      </c>
    </row>
    <row r="503" spans="1:15">
      <c r="A503" t="s">
        <v>311</v>
      </c>
      <c r="B503" t="s">
        <v>339</v>
      </c>
      <c r="C503" t="s">
        <v>184</v>
      </c>
      <c r="D503" t="s">
        <v>323</v>
      </c>
      <c r="E503" t="s">
        <v>336</v>
      </c>
      <c r="F503" s="41">
        <v>0.44845826181768861</v>
      </c>
      <c r="G503" s="41">
        <v>2.5716694443893733</v>
      </c>
      <c r="H503" s="41">
        <v>5.2283288544811031</v>
      </c>
      <c r="I503" s="41">
        <v>2.384441557385073</v>
      </c>
      <c r="J503" s="41">
        <v>0</v>
      </c>
      <c r="K503" s="41">
        <v>0.35</v>
      </c>
      <c r="L503" s="41">
        <v>204.6</v>
      </c>
      <c r="M503" s="41">
        <v>7.0000000000000007E-2</v>
      </c>
      <c r="N503" s="41">
        <v>3.93</v>
      </c>
      <c r="O503" s="41">
        <v>1.583</v>
      </c>
    </row>
    <row r="504" spans="1:15">
      <c r="A504" t="s">
        <v>312</v>
      </c>
      <c r="B504" t="s">
        <v>339</v>
      </c>
      <c r="C504" t="s">
        <v>184</v>
      </c>
      <c r="D504" t="s">
        <v>323</v>
      </c>
      <c r="E504" t="s">
        <v>336</v>
      </c>
      <c r="F504" s="41">
        <v>0.49393550288757998</v>
      </c>
      <c r="G504" s="41">
        <v>2.9101063486206145</v>
      </c>
      <c r="H504" s="41">
        <v>5.1123544961684075</v>
      </c>
      <c r="I504" s="41">
        <v>2.6682881394024545</v>
      </c>
      <c r="J504" s="41">
        <v>0</v>
      </c>
      <c r="K504" s="41">
        <v>0.34</v>
      </c>
      <c r="L504" s="41">
        <v>221.7</v>
      </c>
      <c r="M504" s="41">
        <v>0.05</v>
      </c>
      <c r="N504" s="41">
        <v>3.96</v>
      </c>
      <c r="O504" s="41">
        <v>2.004</v>
      </c>
    </row>
    <row r="505" spans="1:15">
      <c r="A505" t="s">
        <v>313</v>
      </c>
      <c r="B505" t="s">
        <v>339</v>
      </c>
      <c r="C505" t="s">
        <v>184</v>
      </c>
      <c r="D505" t="s">
        <v>323</v>
      </c>
      <c r="E505" t="s">
        <v>336</v>
      </c>
      <c r="F505" s="41">
        <v>0.48979437752261112</v>
      </c>
      <c r="G505" s="41">
        <v>3.0559673190158034</v>
      </c>
      <c r="H505" s="41">
        <v>4.9025054806533328</v>
      </c>
      <c r="I505" s="41">
        <v>3.1565563082285557</v>
      </c>
      <c r="J505" s="41">
        <v>0</v>
      </c>
      <c r="K505" s="41">
        <v>0.43</v>
      </c>
      <c r="L505" s="41">
        <v>203.8</v>
      </c>
      <c r="M505" s="41">
        <v>0</v>
      </c>
      <c r="N505" s="41">
        <v>4.0199999999999996</v>
      </c>
      <c r="O505" s="41">
        <v>1.915</v>
      </c>
    </row>
    <row r="506" spans="1:15">
      <c r="A506" t="s">
        <v>296</v>
      </c>
      <c r="B506" t="s">
        <v>339</v>
      </c>
      <c r="C506" t="s">
        <v>164</v>
      </c>
      <c r="D506" t="s">
        <v>156</v>
      </c>
      <c r="E506" t="s">
        <v>335</v>
      </c>
      <c r="F506" s="41">
        <v>0.71022690762004625</v>
      </c>
      <c r="G506" s="41">
        <v>3.756419423764302</v>
      </c>
      <c r="H506" s="41">
        <v>5.1986165125558026</v>
      </c>
      <c r="I506" s="41">
        <v>1.9770993027395427</v>
      </c>
      <c r="J506" s="41">
        <v>1.81</v>
      </c>
      <c r="K506" s="41">
        <v>0.57999999999999996</v>
      </c>
      <c r="L506" s="41">
        <v>190.6</v>
      </c>
      <c r="M506" s="41">
        <v>2.15</v>
      </c>
      <c r="N506" s="41">
        <v>3.59</v>
      </c>
      <c r="O506" s="41">
        <v>3.0030000000000001</v>
      </c>
    </row>
    <row r="507" spans="1:15">
      <c r="A507" t="s">
        <v>297</v>
      </c>
      <c r="B507" t="s">
        <v>339</v>
      </c>
      <c r="C507" t="s">
        <v>164</v>
      </c>
      <c r="D507" t="s">
        <v>156</v>
      </c>
      <c r="E507" t="s">
        <v>335</v>
      </c>
      <c r="F507" s="41">
        <v>0.76638398293015031</v>
      </c>
      <c r="G507" s="41">
        <v>3.711956395082983</v>
      </c>
      <c r="H507" s="41">
        <v>4.9921705693781435</v>
      </c>
      <c r="I507" s="41">
        <v>1.8956546995796031</v>
      </c>
      <c r="J507" s="41">
        <v>1.62</v>
      </c>
      <c r="K507" s="41">
        <v>0.54</v>
      </c>
      <c r="L507" s="41">
        <v>219.7</v>
      </c>
      <c r="M507" s="41">
        <v>1.93</v>
      </c>
      <c r="N507" s="41">
        <v>3.45</v>
      </c>
      <c r="O507" s="41">
        <v>2.9350000000000001</v>
      </c>
    </row>
    <row r="508" spans="1:15">
      <c r="A508" t="s">
        <v>298</v>
      </c>
      <c r="B508" t="s">
        <v>339</v>
      </c>
      <c r="C508" t="s">
        <v>164</v>
      </c>
      <c r="D508" t="s">
        <v>156</v>
      </c>
      <c r="E508" t="s">
        <v>335</v>
      </c>
      <c r="F508" s="41">
        <v>0.94797617246530297</v>
      </c>
      <c r="G508" s="41">
        <v>3.6613329871305953</v>
      </c>
      <c r="H508" s="41">
        <v>5.351431529207157</v>
      </c>
      <c r="I508" s="41">
        <v>1.3000179120241235</v>
      </c>
      <c r="J508" s="41">
        <v>1.36</v>
      </c>
      <c r="K508" s="41">
        <v>0.37</v>
      </c>
      <c r="L508" s="41">
        <v>198.1</v>
      </c>
      <c r="M508" s="41">
        <v>1.67</v>
      </c>
      <c r="N508" s="41">
        <v>3.51</v>
      </c>
      <c r="O508" s="41">
        <v>2.7959999999999998</v>
      </c>
    </row>
    <row r="509" spans="1:15">
      <c r="A509" t="s">
        <v>299</v>
      </c>
      <c r="B509" t="s">
        <v>339</v>
      </c>
      <c r="C509" t="s">
        <v>168</v>
      </c>
      <c r="D509" t="s">
        <v>156</v>
      </c>
      <c r="E509" t="s">
        <v>335</v>
      </c>
      <c r="F509" s="41">
        <v>0.80276953268330176</v>
      </c>
      <c r="G509" s="41">
        <v>3.1852172667336474</v>
      </c>
      <c r="H509" s="41">
        <v>4.8414112644491096</v>
      </c>
      <c r="I509" s="41">
        <v>2.1906352088265426</v>
      </c>
      <c r="J509" s="41">
        <v>1.28</v>
      </c>
      <c r="K509" s="41">
        <v>0.42</v>
      </c>
      <c r="L509" s="41">
        <v>201.8</v>
      </c>
      <c r="M509" s="41">
        <v>1.51</v>
      </c>
      <c r="N509" s="41">
        <v>4.54</v>
      </c>
      <c r="O509" s="41">
        <v>2.5539999999999998</v>
      </c>
    </row>
    <row r="510" spans="1:15">
      <c r="A510" t="s">
        <v>300</v>
      </c>
      <c r="B510" t="s">
        <v>339</v>
      </c>
      <c r="C510" t="s">
        <v>168</v>
      </c>
      <c r="D510" t="s">
        <v>156</v>
      </c>
      <c r="E510" t="s">
        <v>335</v>
      </c>
      <c r="F510" s="41">
        <v>0.72680080132301761</v>
      </c>
      <c r="G510" s="41">
        <v>3.2052497136472731</v>
      </c>
      <c r="H510" s="41">
        <v>4.5931576708315349</v>
      </c>
      <c r="I510" s="41">
        <v>2.2667483450922212</v>
      </c>
      <c r="J510" s="41">
        <v>1.68</v>
      </c>
      <c r="K510" s="41">
        <v>0.59</v>
      </c>
      <c r="L510" s="41">
        <v>185.1</v>
      </c>
      <c r="M510" s="41">
        <v>1.47</v>
      </c>
      <c r="N510" s="41">
        <v>3.52</v>
      </c>
      <c r="O510" s="41">
        <v>2.996</v>
      </c>
    </row>
    <row r="511" spans="1:15">
      <c r="A511" t="s">
        <v>301</v>
      </c>
      <c r="B511" t="s">
        <v>339</v>
      </c>
      <c r="C511" t="s">
        <v>168</v>
      </c>
      <c r="D511" t="s">
        <v>156</v>
      </c>
      <c r="E511" t="s">
        <v>335</v>
      </c>
      <c r="F511" s="41">
        <v>0.75771323487215869</v>
      </c>
      <c r="G511" s="41">
        <v>3.6038421660864999</v>
      </c>
      <c r="H511" s="41">
        <v>4.4565493861394359</v>
      </c>
      <c r="I511" s="41">
        <v>2.5307878643313426</v>
      </c>
      <c r="J511" s="41">
        <v>1.34</v>
      </c>
      <c r="K511" s="41">
        <v>0.59</v>
      </c>
      <c r="L511" s="41">
        <v>164.6</v>
      </c>
      <c r="M511" s="41">
        <v>1.37</v>
      </c>
      <c r="N511" s="41">
        <v>3.41</v>
      </c>
      <c r="O511" s="41">
        <v>2.9649999999999999</v>
      </c>
    </row>
    <row r="512" spans="1:15">
      <c r="A512" t="s">
        <v>302</v>
      </c>
      <c r="B512" t="s">
        <v>339</v>
      </c>
      <c r="C512" t="s">
        <v>172</v>
      </c>
      <c r="D512" t="s">
        <v>156</v>
      </c>
      <c r="E512" t="s">
        <v>335</v>
      </c>
      <c r="F512" s="41">
        <v>0.71948936699307364</v>
      </c>
      <c r="G512" s="41">
        <v>4.1864022553914575</v>
      </c>
      <c r="H512" s="41">
        <v>4.5031330725839318</v>
      </c>
      <c r="I512" s="41">
        <v>2.3171103621149176</v>
      </c>
      <c r="J512" s="41">
        <v>1.91</v>
      </c>
      <c r="K512" s="41">
        <v>0.63</v>
      </c>
      <c r="L512" s="41">
        <v>186</v>
      </c>
      <c r="M512" s="41">
        <v>2.14</v>
      </c>
      <c r="N512" s="41">
        <v>3.48</v>
      </c>
      <c r="O512" s="41">
        <v>3.2010000000000001</v>
      </c>
    </row>
    <row r="513" spans="1:15">
      <c r="A513" t="s">
        <v>303</v>
      </c>
      <c r="B513" t="s">
        <v>339</v>
      </c>
      <c r="C513" t="s">
        <v>172</v>
      </c>
      <c r="D513" t="s">
        <v>156</v>
      </c>
      <c r="E513" t="s">
        <v>335</v>
      </c>
      <c r="F513" s="41">
        <v>0.62168367043504114</v>
      </c>
      <c r="G513" s="41">
        <v>3.7611401027480267</v>
      </c>
      <c r="H513" s="41">
        <v>4.0973172297439993</v>
      </c>
      <c r="I513" s="41">
        <v>2.3132872666204309</v>
      </c>
      <c r="J513" s="41">
        <v>1.62</v>
      </c>
      <c r="K513" s="41">
        <v>0.48</v>
      </c>
      <c r="L513" s="41">
        <v>165.6</v>
      </c>
      <c r="M513" s="41">
        <v>1.2</v>
      </c>
      <c r="N513" s="41">
        <v>3.4</v>
      </c>
      <c r="O513" s="41">
        <v>2.976</v>
      </c>
    </row>
    <row r="514" spans="1:15">
      <c r="A514" t="s">
        <v>304</v>
      </c>
      <c r="B514" t="s">
        <v>339</v>
      </c>
      <c r="C514" t="s">
        <v>172</v>
      </c>
      <c r="D514" t="s">
        <v>156</v>
      </c>
      <c r="E514" t="s">
        <v>335</v>
      </c>
      <c r="F514" s="41">
        <v>0.7684314919250359</v>
      </c>
      <c r="G514" s="41">
        <v>3.7642128161951249</v>
      </c>
      <c r="H514" s="41">
        <v>4.4516592031943842</v>
      </c>
      <c r="I514" s="41">
        <v>1.6152228200097343</v>
      </c>
      <c r="J514" s="41">
        <v>1.08</v>
      </c>
      <c r="K514" s="41">
        <v>0.41</v>
      </c>
      <c r="L514" s="41">
        <v>177.1</v>
      </c>
      <c r="M514" s="41">
        <v>1.1000000000000001</v>
      </c>
      <c r="N514" s="41">
        <v>3.52</v>
      </c>
      <c r="O514" s="41">
        <v>2.657</v>
      </c>
    </row>
    <row r="515" spans="1:15">
      <c r="A515" t="s">
        <v>305</v>
      </c>
      <c r="B515" t="s">
        <v>339</v>
      </c>
      <c r="C515" t="s">
        <v>176</v>
      </c>
      <c r="D515" t="s">
        <v>156</v>
      </c>
      <c r="E515" t="s">
        <v>336</v>
      </c>
      <c r="F515" s="41">
        <v>0.40266253832282117</v>
      </c>
      <c r="G515" s="41">
        <v>2.4743043723231377</v>
      </c>
      <c r="H515" s="41">
        <v>4.4018740684475111</v>
      </c>
      <c r="I515" s="41">
        <v>2.1149826326028895</v>
      </c>
      <c r="J515" s="41">
        <v>0</v>
      </c>
      <c r="K515" s="41">
        <v>0.26</v>
      </c>
      <c r="L515" s="41">
        <v>183.5</v>
      </c>
      <c r="M515" s="41">
        <v>1.08</v>
      </c>
      <c r="N515" s="41">
        <v>4.1100000000000003</v>
      </c>
      <c r="O515" s="41">
        <v>1.647</v>
      </c>
    </row>
    <row r="516" spans="1:15">
      <c r="A516" t="s">
        <v>306</v>
      </c>
      <c r="B516" t="s">
        <v>339</v>
      </c>
      <c r="C516" t="s">
        <v>176</v>
      </c>
      <c r="D516" t="s">
        <v>156</v>
      </c>
      <c r="E516" t="s">
        <v>336</v>
      </c>
      <c r="F516" s="41" t="e">
        <v>#VALUE!</v>
      </c>
      <c r="G516" s="41" t="e">
        <v>#VALUE!</v>
      </c>
      <c r="H516" s="41" t="e">
        <v>#VALUE!</v>
      </c>
      <c r="I516" s="41" t="e">
        <v>#VALUE!</v>
      </c>
      <c r="J516" s="41">
        <v>0</v>
      </c>
      <c r="K516" s="41">
        <v>0.37</v>
      </c>
      <c r="L516" s="41">
        <v>176.5</v>
      </c>
      <c r="M516" s="41">
        <v>0.35</v>
      </c>
      <c r="N516" s="41">
        <v>4.08</v>
      </c>
      <c r="O516" s="41">
        <v>1.8080000000000001</v>
      </c>
    </row>
    <row r="517" spans="1:15">
      <c r="A517" t="s">
        <v>307</v>
      </c>
      <c r="B517" t="s">
        <v>339</v>
      </c>
      <c r="C517" t="s">
        <v>176</v>
      </c>
      <c r="D517" t="s">
        <v>156</v>
      </c>
      <c r="E517" t="s">
        <v>336</v>
      </c>
      <c r="F517" s="41" t="e">
        <v>#VALUE!</v>
      </c>
      <c r="G517" s="41" t="e">
        <v>#VALUE!</v>
      </c>
      <c r="H517" s="41" t="e">
        <v>#VALUE!</v>
      </c>
      <c r="I517" s="41" t="e">
        <v>#VALUE!</v>
      </c>
      <c r="J517" s="41">
        <v>0</v>
      </c>
      <c r="K517" s="41">
        <v>0.34</v>
      </c>
      <c r="L517" s="41">
        <v>176</v>
      </c>
      <c r="M517" s="41">
        <v>0.39</v>
      </c>
      <c r="N517" s="41">
        <v>3.99</v>
      </c>
      <c r="O517" s="41">
        <v>1.641</v>
      </c>
    </row>
    <row r="518" spans="1:15">
      <c r="A518" t="s">
        <v>308</v>
      </c>
      <c r="B518" t="s">
        <v>339</v>
      </c>
      <c r="C518" t="s">
        <v>180</v>
      </c>
      <c r="D518" t="s">
        <v>156</v>
      </c>
      <c r="E518" t="s">
        <v>336</v>
      </c>
      <c r="F518" s="41">
        <v>0.4294867846044424</v>
      </c>
      <c r="G518" s="41">
        <v>2.9640764189249249</v>
      </c>
      <c r="H518" s="41">
        <v>4.8629871697858613</v>
      </c>
      <c r="I518" s="41">
        <v>1.0062402246345139</v>
      </c>
      <c r="J518" s="41">
        <v>0</v>
      </c>
      <c r="K518" s="41">
        <v>0.41</v>
      </c>
      <c r="L518" s="41">
        <v>202.2</v>
      </c>
      <c r="M518" s="41">
        <v>0.44</v>
      </c>
      <c r="N518" s="41">
        <v>3.85</v>
      </c>
      <c r="O518" s="41">
        <v>1.74</v>
      </c>
    </row>
    <row r="519" spans="1:15">
      <c r="A519" t="s">
        <v>309</v>
      </c>
      <c r="B519" t="s">
        <v>339</v>
      </c>
      <c r="C519" t="s">
        <v>180</v>
      </c>
      <c r="D519" t="s">
        <v>156</v>
      </c>
      <c r="E519" t="s">
        <v>336</v>
      </c>
      <c r="F519" s="41">
        <v>0.46688328125081519</v>
      </c>
      <c r="G519" s="41">
        <v>2.8925559962676615</v>
      </c>
      <c r="H519" s="41">
        <v>4.7676499382340776</v>
      </c>
      <c r="I519" s="41">
        <v>2.356678282618677</v>
      </c>
      <c r="J519" s="41">
        <v>0</v>
      </c>
      <c r="K519" s="41">
        <v>0.37</v>
      </c>
      <c r="L519" s="41">
        <v>203.7</v>
      </c>
      <c r="M519" s="41">
        <v>0.83</v>
      </c>
      <c r="N519" s="41">
        <v>4.07</v>
      </c>
      <c r="O519" s="41">
        <v>1.5249999999999999</v>
      </c>
    </row>
    <row r="520" spans="1:15">
      <c r="A520" t="s">
        <v>310</v>
      </c>
      <c r="B520" t="s">
        <v>339</v>
      </c>
      <c r="C520" t="s">
        <v>180</v>
      </c>
      <c r="D520" t="s">
        <v>156</v>
      </c>
      <c r="E520" t="s">
        <v>336</v>
      </c>
      <c r="F520" s="41">
        <v>0.3819244655672821</v>
      </c>
      <c r="G520" s="41">
        <v>2.9130007015721739</v>
      </c>
      <c r="H520" s="41">
        <v>4.6832633454106887</v>
      </c>
      <c r="I520" s="41">
        <v>2.3063982423024898</v>
      </c>
      <c r="J520" s="41">
        <v>0</v>
      </c>
      <c r="K520" s="41">
        <v>0.33</v>
      </c>
      <c r="L520" s="41">
        <v>190.4</v>
      </c>
      <c r="M520" s="41">
        <v>0.7</v>
      </c>
      <c r="N520" s="41">
        <v>3.81</v>
      </c>
      <c r="O520" s="41">
        <v>1.633</v>
      </c>
    </row>
    <row r="521" spans="1:15">
      <c r="A521" t="s">
        <v>311</v>
      </c>
      <c r="B521" t="s">
        <v>339</v>
      </c>
      <c r="C521" t="s">
        <v>184</v>
      </c>
      <c r="D521" t="s">
        <v>156</v>
      </c>
      <c r="E521" t="s">
        <v>336</v>
      </c>
      <c r="F521" s="41">
        <v>0.44845826181768861</v>
      </c>
      <c r="G521" s="41">
        <v>2.5716694443893733</v>
      </c>
      <c r="H521" s="41">
        <v>5.2283288544811031</v>
      </c>
      <c r="I521" s="41">
        <v>2.384441557385073</v>
      </c>
      <c r="J521" s="41">
        <v>0</v>
      </c>
      <c r="K521" s="41">
        <v>0.35</v>
      </c>
      <c r="L521" s="41">
        <v>204.6</v>
      </c>
      <c r="M521" s="41">
        <v>7.0000000000000007E-2</v>
      </c>
      <c r="N521" s="41">
        <v>3.93</v>
      </c>
      <c r="O521" s="41">
        <v>1.583</v>
      </c>
    </row>
    <row r="522" spans="1:15">
      <c r="A522" t="s">
        <v>312</v>
      </c>
      <c r="B522" t="s">
        <v>339</v>
      </c>
      <c r="C522" t="s">
        <v>184</v>
      </c>
      <c r="D522" t="s">
        <v>156</v>
      </c>
      <c r="E522" t="s">
        <v>336</v>
      </c>
      <c r="F522" s="41">
        <v>0.49393550288757998</v>
      </c>
      <c r="G522" s="41">
        <v>2.9101063486206145</v>
      </c>
      <c r="H522" s="41">
        <v>5.1123544961684075</v>
      </c>
      <c r="I522" s="41">
        <v>2.6682881394024545</v>
      </c>
      <c r="J522" s="41">
        <v>0</v>
      </c>
      <c r="K522" s="41">
        <v>0.34</v>
      </c>
      <c r="L522" s="41">
        <v>221.7</v>
      </c>
      <c r="M522" s="41">
        <v>0.05</v>
      </c>
      <c r="N522" s="41">
        <v>3.96</v>
      </c>
      <c r="O522" s="41">
        <v>2.004</v>
      </c>
    </row>
    <row r="523" spans="1:15">
      <c r="A523" t="s">
        <v>313</v>
      </c>
      <c r="B523" t="s">
        <v>339</v>
      </c>
      <c r="C523" t="s">
        <v>184</v>
      </c>
      <c r="D523" t="s">
        <v>156</v>
      </c>
      <c r="E523" t="s">
        <v>336</v>
      </c>
      <c r="F523" s="41">
        <v>0.48979437752261112</v>
      </c>
      <c r="G523" s="41">
        <v>3.0559673190158034</v>
      </c>
      <c r="H523" s="41">
        <v>4.9025054806533328</v>
      </c>
      <c r="I523" s="41">
        <v>3.1565563082285557</v>
      </c>
      <c r="J523" s="41">
        <v>0</v>
      </c>
      <c r="K523" s="41">
        <v>0.43</v>
      </c>
      <c r="L523" s="41">
        <v>203.8</v>
      </c>
      <c r="M523" s="41">
        <v>0</v>
      </c>
      <c r="N523" s="41">
        <v>4.0199999999999996</v>
      </c>
      <c r="O523" s="41">
        <v>1.915</v>
      </c>
    </row>
    <row r="524" spans="1:15">
      <c r="A524" t="s">
        <v>296</v>
      </c>
      <c r="B524" t="str">
        <f>B523</f>
        <v>Trial 2</v>
      </c>
      <c r="C524" t="s">
        <v>164</v>
      </c>
      <c r="D524" t="s">
        <v>160</v>
      </c>
      <c r="E524" t="s">
        <v>335</v>
      </c>
      <c r="F524" s="41">
        <v>0.71022690762004625</v>
      </c>
      <c r="G524" s="41">
        <v>3.756419423764302</v>
      </c>
      <c r="H524" s="41">
        <v>5.1986165125558026</v>
      </c>
      <c r="I524" s="41">
        <v>1.9770993027395427</v>
      </c>
      <c r="J524" s="41">
        <v>1.81</v>
      </c>
      <c r="K524" s="41">
        <v>0.57999999999999996</v>
      </c>
      <c r="L524" s="41">
        <v>190.6</v>
      </c>
      <c r="M524" s="41">
        <v>2.15</v>
      </c>
      <c r="N524" s="41">
        <v>3.59</v>
      </c>
      <c r="O524" s="41">
        <v>3.0030000000000001</v>
      </c>
    </row>
    <row r="525" spans="1:15">
      <c r="A525" t="s">
        <v>297</v>
      </c>
      <c r="B525" t="str">
        <f t="shared" ref="B525:B541" si="3">B524</f>
        <v>Trial 2</v>
      </c>
      <c r="C525" t="s">
        <v>164</v>
      </c>
      <c r="D525" t="s">
        <v>160</v>
      </c>
      <c r="E525" t="s">
        <v>335</v>
      </c>
      <c r="F525" s="41">
        <v>0.76638398293015031</v>
      </c>
      <c r="G525" s="41">
        <v>3.711956395082983</v>
      </c>
      <c r="H525" s="41">
        <v>4.9921705693781435</v>
      </c>
      <c r="I525" s="41">
        <v>1.8956546995796031</v>
      </c>
      <c r="J525" s="41">
        <v>1.62</v>
      </c>
      <c r="K525" s="41">
        <v>0.54</v>
      </c>
      <c r="L525" s="41">
        <v>219.7</v>
      </c>
      <c r="M525" s="41">
        <v>1.93</v>
      </c>
      <c r="N525" s="41">
        <v>3.45</v>
      </c>
      <c r="O525" s="41">
        <v>2.9350000000000001</v>
      </c>
    </row>
    <row r="526" spans="1:15">
      <c r="A526" t="s">
        <v>298</v>
      </c>
      <c r="B526" t="str">
        <f t="shared" si="3"/>
        <v>Trial 2</v>
      </c>
      <c r="C526" t="s">
        <v>164</v>
      </c>
      <c r="D526" t="s">
        <v>160</v>
      </c>
      <c r="E526" t="s">
        <v>335</v>
      </c>
      <c r="F526" s="41">
        <v>0.94797617246530297</v>
      </c>
      <c r="G526" s="41">
        <v>3.6613329871305953</v>
      </c>
      <c r="H526" s="41">
        <v>5.351431529207157</v>
      </c>
      <c r="I526" s="41">
        <v>1.3000179120241235</v>
      </c>
      <c r="J526" s="41">
        <v>1.36</v>
      </c>
      <c r="K526" s="41">
        <v>0.37</v>
      </c>
      <c r="L526" s="41">
        <v>198.1</v>
      </c>
      <c r="M526" s="41">
        <v>1.67</v>
      </c>
      <c r="N526" s="41">
        <v>3.51</v>
      </c>
      <c r="O526" s="41">
        <v>2.7959999999999998</v>
      </c>
    </row>
    <row r="527" spans="1:15">
      <c r="A527" t="s">
        <v>299</v>
      </c>
      <c r="B527" t="str">
        <f t="shared" si="3"/>
        <v>Trial 2</v>
      </c>
      <c r="C527" t="s">
        <v>168</v>
      </c>
      <c r="D527" t="s">
        <v>160</v>
      </c>
      <c r="E527" t="s">
        <v>335</v>
      </c>
      <c r="F527" s="41">
        <v>0.80276953268330176</v>
      </c>
      <c r="G527" s="41">
        <v>3.1852172667336474</v>
      </c>
      <c r="H527" s="41">
        <v>4.8414112644491096</v>
      </c>
      <c r="I527" s="41">
        <v>2.1906352088265426</v>
      </c>
      <c r="J527" s="41">
        <v>1.28</v>
      </c>
      <c r="K527" s="41">
        <v>0.42</v>
      </c>
      <c r="L527" s="41">
        <v>201.8</v>
      </c>
      <c r="M527" s="41">
        <v>1.51</v>
      </c>
      <c r="N527" s="41">
        <v>4.54</v>
      </c>
      <c r="O527" s="41">
        <v>2.5539999999999998</v>
      </c>
    </row>
    <row r="528" spans="1:15">
      <c r="A528" t="s">
        <v>300</v>
      </c>
      <c r="B528" t="str">
        <f t="shared" si="3"/>
        <v>Trial 2</v>
      </c>
      <c r="C528" t="s">
        <v>168</v>
      </c>
      <c r="D528" t="s">
        <v>160</v>
      </c>
      <c r="E528" t="s">
        <v>335</v>
      </c>
      <c r="F528" s="41">
        <v>0.72680080132301761</v>
      </c>
      <c r="G528" s="41">
        <v>3.2052497136472731</v>
      </c>
      <c r="H528" s="41">
        <v>4.5931576708315349</v>
      </c>
      <c r="I528" s="41">
        <v>2.2667483450922212</v>
      </c>
      <c r="J528" s="41">
        <v>1.68</v>
      </c>
      <c r="K528" s="41">
        <v>0.59</v>
      </c>
      <c r="L528" s="41">
        <v>185.1</v>
      </c>
      <c r="M528" s="41">
        <v>1.47</v>
      </c>
      <c r="N528" s="41">
        <v>3.52</v>
      </c>
      <c r="O528" s="41">
        <v>2.996</v>
      </c>
    </row>
    <row r="529" spans="1:15">
      <c r="A529" t="s">
        <v>301</v>
      </c>
      <c r="B529" t="str">
        <f t="shared" si="3"/>
        <v>Trial 2</v>
      </c>
      <c r="C529" t="s">
        <v>168</v>
      </c>
      <c r="D529" t="s">
        <v>160</v>
      </c>
      <c r="E529" t="s">
        <v>335</v>
      </c>
      <c r="F529" s="41">
        <v>0.75771323487215869</v>
      </c>
      <c r="G529" s="41">
        <v>3.6038421660864999</v>
      </c>
      <c r="H529" s="41">
        <v>4.4565493861394359</v>
      </c>
      <c r="I529" s="41">
        <v>2.5307878643313426</v>
      </c>
      <c r="J529" s="41">
        <v>1.34</v>
      </c>
      <c r="K529" s="41">
        <v>0.59</v>
      </c>
      <c r="L529" s="41">
        <v>164.6</v>
      </c>
      <c r="M529" s="41">
        <v>1.37</v>
      </c>
      <c r="N529" s="41">
        <v>3.41</v>
      </c>
      <c r="O529" s="41">
        <v>2.9649999999999999</v>
      </c>
    </row>
    <row r="530" spans="1:15">
      <c r="A530" t="s">
        <v>302</v>
      </c>
      <c r="B530" t="str">
        <f t="shared" si="3"/>
        <v>Trial 2</v>
      </c>
      <c r="C530" t="s">
        <v>172</v>
      </c>
      <c r="D530" t="s">
        <v>160</v>
      </c>
      <c r="E530" t="s">
        <v>335</v>
      </c>
      <c r="F530" s="41">
        <v>0.71948936699307364</v>
      </c>
      <c r="G530" s="41">
        <v>4.1864022553914575</v>
      </c>
      <c r="H530" s="41">
        <v>4.5031330725839318</v>
      </c>
      <c r="I530" s="41">
        <v>2.3171103621149176</v>
      </c>
      <c r="J530" s="41">
        <v>1.91</v>
      </c>
      <c r="K530" s="41">
        <v>0.63</v>
      </c>
      <c r="L530" s="41">
        <v>186</v>
      </c>
      <c r="M530" s="41">
        <v>2.14</v>
      </c>
      <c r="N530" s="41">
        <v>3.48</v>
      </c>
      <c r="O530" s="41">
        <v>3.2010000000000001</v>
      </c>
    </row>
    <row r="531" spans="1:15">
      <c r="A531" t="s">
        <v>303</v>
      </c>
      <c r="B531" t="str">
        <f t="shared" si="3"/>
        <v>Trial 2</v>
      </c>
      <c r="C531" t="s">
        <v>172</v>
      </c>
      <c r="D531" t="s">
        <v>160</v>
      </c>
      <c r="E531" t="s">
        <v>335</v>
      </c>
      <c r="F531" s="41">
        <v>0.62168367043504114</v>
      </c>
      <c r="G531" s="41">
        <v>3.7611401027480267</v>
      </c>
      <c r="H531" s="41">
        <v>4.0973172297439993</v>
      </c>
      <c r="I531" s="41">
        <v>2.3132872666204309</v>
      </c>
      <c r="J531" s="41">
        <v>1.62</v>
      </c>
      <c r="K531" s="41">
        <v>0.48</v>
      </c>
      <c r="L531" s="41">
        <v>165.6</v>
      </c>
      <c r="M531" s="41">
        <v>1.2</v>
      </c>
      <c r="N531" s="41">
        <v>3.4</v>
      </c>
      <c r="O531" s="41">
        <v>2.976</v>
      </c>
    </row>
    <row r="532" spans="1:15">
      <c r="A532" t="s">
        <v>304</v>
      </c>
      <c r="B532" t="str">
        <f t="shared" si="3"/>
        <v>Trial 2</v>
      </c>
      <c r="C532" t="s">
        <v>172</v>
      </c>
      <c r="D532" t="s">
        <v>160</v>
      </c>
      <c r="E532" t="s">
        <v>335</v>
      </c>
      <c r="F532" s="41">
        <v>0.7684314919250359</v>
      </c>
      <c r="G532" s="41">
        <v>3.7642128161951249</v>
      </c>
      <c r="H532" s="41">
        <v>4.4516592031943842</v>
      </c>
      <c r="I532" s="41">
        <v>1.6152228200097343</v>
      </c>
      <c r="J532" s="41">
        <v>1.08</v>
      </c>
      <c r="K532" s="41">
        <v>0.41</v>
      </c>
      <c r="L532" s="41">
        <v>177.1</v>
      </c>
      <c r="M532" s="41">
        <v>1.1000000000000001</v>
      </c>
      <c r="N532" s="41">
        <v>3.52</v>
      </c>
      <c r="O532" s="41">
        <v>2.657</v>
      </c>
    </row>
    <row r="533" spans="1:15">
      <c r="A533" t="s">
        <v>305</v>
      </c>
      <c r="B533" t="str">
        <f t="shared" si="3"/>
        <v>Trial 2</v>
      </c>
      <c r="C533" t="s">
        <v>176</v>
      </c>
      <c r="D533" t="s">
        <v>160</v>
      </c>
      <c r="E533" t="s">
        <v>336</v>
      </c>
      <c r="F533" s="41">
        <v>0.40266253832282117</v>
      </c>
      <c r="G533" s="41">
        <v>2.4743043723231377</v>
      </c>
      <c r="H533" s="41">
        <v>4.4018740684475111</v>
      </c>
      <c r="I533" s="41">
        <v>2.1149826326028895</v>
      </c>
      <c r="J533" s="41">
        <v>0</v>
      </c>
      <c r="K533" s="41">
        <v>0.26</v>
      </c>
      <c r="L533" s="41">
        <v>183.5</v>
      </c>
      <c r="M533" s="41">
        <v>1.08</v>
      </c>
      <c r="N533" s="41">
        <v>4.1100000000000003</v>
      </c>
      <c r="O533" s="41">
        <v>1.647</v>
      </c>
    </row>
    <row r="534" spans="1:15">
      <c r="A534" t="s">
        <v>306</v>
      </c>
      <c r="B534" t="str">
        <f t="shared" si="3"/>
        <v>Trial 2</v>
      </c>
      <c r="C534" t="s">
        <v>176</v>
      </c>
      <c r="D534" t="s">
        <v>160</v>
      </c>
      <c r="E534" t="s">
        <v>336</v>
      </c>
      <c r="F534" s="41" t="e">
        <v>#VALUE!</v>
      </c>
      <c r="G534" s="41" t="e">
        <v>#VALUE!</v>
      </c>
      <c r="H534" s="41" t="e">
        <v>#VALUE!</v>
      </c>
      <c r="I534" s="41" t="e">
        <v>#VALUE!</v>
      </c>
      <c r="J534" s="41">
        <v>0</v>
      </c>
      <c r="K534" s="41">
        <v>0.37</v>
      </c>
      <c r="L534" s="41">
        <v>176.5</v>
      </c>
      <c r="M534" s="41">
        <v>0.35</v>
      </c>
      <c r="N534" s="41">
        <v>4.08</v>
      </c>
      <c r="O534" s="41">
        <v>1.8080000000000001</v>
      </c>
    </row>
    <row r="535" spans="1:15">
      <c r="A535" t="s">
        <v>307</v>
      </c>
      <c r="B535" t="str">
        <f t="shared" si="3"/>
        <v>Trial 2</v>
      </c>
      <c r="C535" t="s">
        <v>176</v>
      </c>
      <c r="D535" t="s">
        <v>160</v>
      </c>
      <c r="E535" t="s">
        <v>336</v>
      </c>
      <c r="F535" s="41" t="e">
        <v>#VALUE!</v>
      </c>
      <c r="G535" s="41" t="e">
        <v>#VALUE!</v>
      </c>
      <c r="H535" s="41" t="e">
        <v>#VALUE!</v>
      </c>
      <c r="I535" s="41" t="e">
        <v>#VALUE!</v>
      </c>
      <c r="J535" s="41">
        <v>0</v>
      </c>
      <c r="K535" s="41">
        <v>0.34</v>
      </c>
      <c r="L535" s="41">
        <v>176</v>
      </c>
      <c r="M535" s="41">
        <v>0.39</v>
      </c>
      <c r="N535" s="41">
        <v>3.99</v>
      </c>
      <c r="O535" s="41">
        <v>1.641</v>
      </c>
    </row>
    <row r="536" spans="1:15">
      <c r="A536" t="s">
        <v>308</v>
      </c>
      <c r="B536" t="str">
        <f t="shared" si="3"/>
        <v>Trial 2</v>
      </c>
      <c r="C536" t="s">
        <v>180</v>
      </c>
      <c r="D536" t="s">
        <v>160</v>
      </c>
      <c r="E536" t="s">
        <v>336</v>
      </c>
      <c r="F536" s="41">
        <v>0.4294867846044424</v>
      </c>
      <c r="G536" s="41">
        <v>2.9640764189249249</v>
      </c>
      <c r="H536" s="41">
        <v>4.8629871697858613</v>
      </c>
      <c r="I536" s="41">
        <v>1.0062402246345139</v>
      </c>
      <c r="J536" s="41">
        <v>0</v>
      </c>
      <c r="K536" s="41">
        <v>0.41</v>
      </c>
      <c r="L536" s="41">
        <v>202.2</v>
      </c>
      <c r="M536" s="41">
        <v>0.44</v>
      </c>
      <c r="N536" s="41">
        <v>3.85</v>
      </c>
      <c r="O536" s="41">
        <v>1.74</v>
      </c>
    </row>
    <row r="537" spans="1:15">
      <c r="A537" t="s">
        <v>309</v>
      </c>
      <c r="B537" t="str">
        <f t="shared" si="3"/>
        <v>Trial 2</v>
      </c>
      <c r="C537" t="s">
        <v>180</v>
      </c>
      <c r="D537" t="s">
        <v>160</v>
      </c>
      <c r="E537" t="s">
        <v>336</v>
      </c>
      <c r="F537" s="41">
        <v>0.46688328125081519</v>
      </c>
      <c r="G537" s="41">
        <v>2.8925559962676615</v>
      </c>
      <c r="H537" s="41">
        <v>4.7676499382340776</v>
      </c>
      <c r="I537" s="41">
        <v>2.356678282618677</v>
      </c>
      <c r="J537" s="41">
        <v>0</v>
      </c>
      <c r="K537" s="41">
        <v>0.37</v>
      </c>
      <c r="L537" s="41">
        <v>203.7</v>
      </c>
      <c r="M537" s="41">
        <v>0.83</v>
      </c>
      <c r="N537" s="41">
        <v>4.07</v>
      </c>
      <c r="O537" s="41">
        <v>1.5249999999999999</v>
      </c>
    </row>
    <row r="538" spans="1:15">
      <c r="A538" t="s">
        <v>310</v>
      </c>
      <c r="B538" t="str">
        <f t="shared" si="3"/>
        <v>Trial 2</v>
      </c>
      <c r="C538" t="s">
        <v>180</v>
      </c>
      <c r="D538" t="s">
        <v>160</v>
      </c>
      <c r="E538" t="s">
        <v>336</v>
      </c>
      <c r="F538" s="41">
        <v>0.3819244655672821</v>
      </c>
      <c r="G538" s="41">
        <v>2.9130007015721739</v>
      </c>
      <c r="H538" s="41">
        <v>4.6832633454106887</v>
      </c>
      <c r="I538" s="41">
        <v>2.3063982423024898</v>
      </c>
      <c r="J538" s="41">
        <v>0</v>
      </c>
      <c r="K538" s="41">
        <v>0.33</v>
      </c>
      <c r="L538" s="41">
        <v>190.4</v>
      </c>
      <c r="M538" s="41">
        <v>0.7</v>
      </c>
      <c r="N538" s="41">
        <v>3.81</v>
      </c>
      <c r="O538" s="41">
        <v>1.633</v>
      </c>
    </row>
    <row r="539" spans="1:15">
      <c r="A539" t="s">
        <v>311</v>
      </c>
      <c r="B539" t="str">
        <f t="shared" si="3"/>
        <v>Trial 2</v>
      </c>
      <c r="C539" t="s">
        <v>184</v>
      </c>
      <c r="D539" t="s">
        <v>160</v>
      </c>
      <c r="E539" t="s">
        <v>336</v>
      </c>
      <c r="F539" s="41">
        <v>0.44845826181768861</v>
      </c>
      <c r="G539" s="41">
        <v>2.5716694443893733</v>
      </c>
      <c r="H539" s="41">
        <v>5.2283288544811031</v>
      </c>
      <c r="I539" s="41">
        <v>2.384441557385073</v>
      </c>
      <c r="J539" s="41">
        <v>0</v>
      </c>
      <c r="K539" s="41">
        <v>0.35</v>
      </c>
      <c r="L539" s="41">
        <v>204.6</v>
      </c>
      <c r="M539" s="41">
        <v>7.0000000000000007E-2</v>
      </c>
      <c r="N539" s="41">
        <v>3.93</v>
      </c>
      <c r="O539" s="41">
        <v>1.583</v>
      </c>
    </row>
    <row r="540" spans="1:15">
      <c r="A540" t="s">
        <v>312</v>
      </c>
      <c r="B540" t="str">
        <f t="shared" si="3"/>
        <v>Trial 2</v>
      </c>
      <c r="C540" t="s">
        <v>184</v>
      </c>
      <c r="D540" t="s">
        <v>160</v>
      </c>
      <c r="E540" t="s">
        <v>336</v>
      </c>
      <c r="F540" s="41">
        <v>0.49393550288757998</v>
      </c>
      <c r="G540" s="41">
        <v>2.9101063486206145</v>
      </c>
      <c r="H540" s="41">
        <v>5.1123544961684075</v>
      </c>
      <c r="I540" s="41">
        <v>2.6682881394024545</v>
      </c>
      <c r="J540" s="41">
        <v>0</v>
      </c>
      <c r="K540" s="41">
        <v>0.34</v>
      </c>
      <c r="L540" s="41">
        <v>221.7</v>
      </c>
      <c r="M540" s="41">
        <v>0.05</v>
      </c>
      <c r="N540" s="41">
        <v>3.96</v>
      </c>
      <c r="O540" s="41">
        <v>2.004</v>
      </c>
    </row>
    <row r="541" spans="1:15">
      <c r="A541" t="s">
        <v>313</v>
      </c>
      <c r="B541" t="str">
        <f t="shared" si="3"/>
        <v>Trial 2</v>
      </c>
      <c r="C541" t="s">
        <v>184</v>
      </c>
      <c r="D541" t="s">
        <v>160</v>
      </c>
      <c r="E541" t="s">
        <v>336</v>
      </c>
      <c r="F541" s="41">
        <v>0.48979437752261112</v>
      </c>
      <c r="G541" s="41">
        <v>3.0559673190158034</v>
      </c>
      <c r="H541" s="41">
        <v>4.9025054806533328</v>
      </c>
      <c r="I541" s="41">
        <v>3.1565563082285557</v>
      </c>
      <c r="J541" s="41">
        <v>0</v>
      </c>
      <c r="K541" s="41">
        <v>0.43</v>
      </c>
      <c r="L541" s="41">
        <v>203.8</v>
      </c>
      <c r="M541" s="41">
        <v>0</v>
      </c>
      <c r="N541" s="41">
        <v>4.0199999999999996</v>
      </c>
      <c r="O541" s="41">
        <v>1.915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7"/>
  <sheetViews>
    <sheetView tabSelected="1" workbookViewId="0">
      <selection activeCell="D20" sqref="D20"/>
    </sheetView>
  </sheetViews>
  <sheetFormatPr defaultRowHeight="15"/>
  <cols>
    <col min="2" max="2" width="32.109375" bestFit="1" customWidth="1"/>
    <col min="3" max="3" width="18.88671875" bestFit="1" customWidth="1"/>
    <col min="4" max="4" width="18.88671875" customWidth="1"/>
    <col min="5" max="5" width="30.109375" bestFit="1" customWidth="1"/>
    <col min="11" max="11" width="14" bestFit="1" customWidth="1"/>
    <col min="12" max="12" width="12" bestFit="1" customWidth="1"/>
    <col min="13" max="13" width="9.6640625" bestFit="1" customWidth="1"/>
    <col min="14" max="14" width="11" bestFit="1" customWidth="1"/>
    <col min="15" max="15" width="10.6640625" bestFit="1" customWidth="1"/>
  </cols>
  <sheetData>
    <row r="1" spans="1:18">
      <c r="A1" t="s">
        <v>337</v>
      </c>
      <c r="B1" t="s">
        <v>344</v>
      </c>
      <c r="C1" t="s">
        <v>342</v>
      </c>
      <c r="D1" t="s">
        <v>330</v>
      </c>
      <c r="E1" t="s">
        <v>448</v>
      </c>
      <c r="F1" t="s">
        <v>314</v>
      </c>
      <c r="G1" t="s">
        <v>7</v>
      </c>
      <c r="H1" t="s">
        <v>315</v>
      </c>
      <c r="I1" t="s">
        <v>316</v>
      </c>
      <c r="J1" t="s">
        <v>340</v>
      </c>
      <c r="K1" t="s">
        <v>341</v>
      </c>
      <c r="L1" t="s">
        <v>343</v>
      </c>
      <c r="M1" t="s">
        <v>353</v>
      </c>
      <c r="N1" t="s">
        <v>354</v>
      </c>
      <c r="O1" t="s">
        <v>355</v>
      </c>
      <c r="P1" t="s">
        <v>1</v>
      </c>
      <c r="Q1" t="s">
        <v>2</v>
      </c>
      <c r="R1" t="s">
        <v>3</v>
      </c>
    </row>
    <row r="2" spans="1:18">
      <c r="A2">
        <v>3</v>
      </c>
      <c r="B2" t="s">
        <v>356</v>
      </c>
      <c r="C2" t="s">
        <v>320</v>
      </c>
      <c r="D2" t="s">
        <v>450</v>
      </c>
      <c r="E2" t="s">
        <v>332</v>
      </c>
      <c r="F2">
        <v>1.57</v>
      </c>
      <c r="G2">
        <v>4.2699999999999996</v>
      </c>
      <c r="H2">
        <v>156.69999999999999</v>
      </c>
      <c r="I2">
        <v>0.76</v>
      </c>
      <c r="J2">
        <v>3.74</v>
      </c>
      <c r="K2" s="51">
        <v>8.5310000000000006</v>
      </c>
      <c r="L2" s="60">
        <v>15</v>
      </c>
      <c r="M2" s="60">
        <f>ASIN(SQRT(L2/100))*180/PI()</f>
        <v>22.786497999597149</v>
      </c>
      <c r="N2" s="60">
        <v>51.666666666666671</v>
      </c>
      <c r="O2" s="60">
        <f>ASIN(SQRT(N2/100))*180/PI()</f>
        <v>45.955106585854971</v>
      </c>
      <c r="P2">
        <v>0.45</v>
      </c>
      <c r="Q2">
        <v>3.1120000000000001</v>
      </c>
      <c r="R2">
        <v>2.3210000000000002</v>
      </c>
    </row>
    <row r="3" spans="1:18">
      <c r="A3">
        <v>3</v>
      </c>
      <c r="B3" t="s">
        <v>356</v>
      </c>
      <c r="C3" t="s">
        <v>320</v>
      </c>
      <c r="D3" t="s">
        <v>450</v>
      </c>
      <c r="E3" t="s">
        <v>332</v>
      </c>
      <c r="F3">
        <v>2.72</v>
      </c>
      <c r="G3">
        <v>5.23</v>
      </c>
      <c r="H3">
        <v>165.2</v>
      </c>
      <c r="I3">
        <v>0.49</v>
      </c>
      <c r="J3">
        <v>3.64</v>
      </c>
      <c r="K3" s="51">
        <v>7.1109999999999998</v>
      </c>
      <c r="L3" s="60">
        <v>11.666666666666666</v>
      </c>
      <c r="M3" s="60">
        <f t="shared" ref="M3:M66" si="0">ASIN(SQRT(L3/100))*180/PI()</f>
        <v>19.972252594907442</v>
      </c>
      <c r="N3" s="60">
        <v>50</v>
      </c>
      <c r="O3" s="60">
        <f t="shared" ref="O3:O66" si="1">ASIN(SQRT(N3/100))*180/PI()</f>
        <v>45.000000000000007</v>
      </c>
      <c r="P3">
        <v>0.39400000000000002</v>
      </c>
      <c r="Q3">
        <v>3.0379999999999998</v>
      </c>
      <c r="R3">
        <v>2.2650000000000001</v>
      </c>
    </row>
    <row r="4" spans="1:18">
      <c r="A4">
        <v>3</v>
      </c>
      <c r="B4" t="s">
        <v>356</v>
      </c>
      <c r="C4" t="s">
        <v>320</v>
      </c>
      <c r="D4" t="s">
        <v>450</v>
      </c>
      <c r="E4" t="s">
        <v>332</v>
      </c>
      <c r="F4">
        <v>1.77</v>
      </c>
      <c r="G4">
        <v>4.54</v>
      </c>
      <c r="H4">
        <v>168.6</v>
      </c>
      <c r="I4">
        <v>1.08</v>
      </c>
      <c r="J4">
        <v>3.71</v>
      </c>
      <c r="K4" s="51">
        <v>7.0049999999999999</v>
      </c>
      <c r="L4" s="60">
        <v>23.333333333333332</v>
      </c>
      <c r="M4" s="60">
        <f t="shared" si="0"/>
        <v>28.884523682248947</v>
      </c>
      <c r="N4" s="60">
        <v>53.333333333333336</v>
      </c>
      <c r="O4" s="60">
        <f t="shared" si="1"/>
        <v>46.911276864637173</v>
      </c>
      <c r="P4">
        <v>0.47</v>
      </c>
      <c r="Q4">
        <v>2.9430000000000001</v>
      </c>
      <c r="R4">
        <v>2.1949999999999998</v>
      </c>
    </row>
    <row r="5" spans="1:18">
      <c r="A5">
        <v>3</v>
      </c>
      <c r="B5" t="s">
        <v>357</v>
      </c>
      <c r="C5" t="s">
        <v>132</v>
      </c>
      <c r="D5" t="s">
        <v>450</v>
      </c>
      <c r="E5" t="s">
        <v>332</v>
      </c>
      <c r="F5">
        <v>1.01</v>
      </c>
      <c r="G5">
        <v>3.79</v>
      </c>
      <c r="H5">
        <v>151.80000000000001</v>
      </c>
      <c r="I5">
        <v>1.23</v>
      </c>
      <c r="J5">
        <v>3.67</v>
      </c>
      <c r="K5" s="51">
        <v>5.1429999999999998</v>
      </c>
      <c r="L5" s="60">
        <v>23.333333333333332</v>
      </c>
      <c r="M5" s="60">
        <f t="shared" si="0"/>
        <v>28.884523682248947</v>
      </c>
      <c r="N5" s="60">
        <v>58.333333333333336</v>
      </c>
      <c r="O5" s="60">
        <f t="shared" si="1"/>
        <v>49.797034113430229</v>
      </c>
      <c r="P5">
        <v>0.36899999999999999</v>
      </c>
      <c r="Q5">
        <v>2.6379999999999999</v>
      </c>
      <c r="R5">
        <v>1.93</v>
      </c>
    </row>
    <row r="6" spans="1:18">
      <c r="A6">
        <v>3</v>
      </c>
      <c r="B6" t="s">
        <v>357</v>
      </c>
      <c r="C6" t="s">
        <v>132</v>
      </c>
      <c r="D6" t="s">
        <v>450</v>
      </c>
      <c r="E6" t="s">
        <v>332</v>
      </c>
      <c r="F6">
        <v>2.54</v>
      </c>
      <c r="G6">
        <v>4.59</v>
      </c>
      <c r="H6">
        <v>157.9</v>
      </c>
      <c r="I6">
        <v>0.64</v>
      </c>
      <c r="J6">
        <v>3.57</v>
      </c>
      <c r="K6" s="51">
        <v>6.4960000000000004</v>
      </c>
      <c r="L6" s="60">
        <v>23.333333333333332</v>
      </c>
      <c r="M6" s="60">
        <f t="shared" si="0"/>
        <v>28.884523682248947</v>
      </c>
      <c r="N6" s="60">
        <v>51.666666666666671</v>
      </c>
      <c r="O6" s="60">
        <f t="shared" si="1"/>
        <v>45.955106585854971</v>
      </c>
      <c r="P6">
        <v>0.42799999999999999</v>
      </c>
      <c r="Q6">
        <v>3.0049999999999999</v>
      </c>
      <c r="R6">
        <v>2.1589999999999998</v>
      </c>
    </row>
    <row r="7" spans="1:18">
      <c r="A7">
        <v>3</v>
      </c>
      <c r="B7" t="s">
        <v>357</v>
      </c>
      <c r="C7" t="s">
        <v>132</v>
      </c>
      <c r="D7" t="s">
        <v>450</v>
      </c>
      <c r="E7" t="s">
        <v>332</v>
      </c>
      <c r="F7">
        <v>2.76</v>
      </c>
      <c r="G7">
        <v>4.91</v>
      </c>
      <c r="H7">
        <v>148.1</v>
      </c>
      <c r="I7">
        <v>1.04</v>
      </c>
      <c r="J7">
        <v>3.55</v>
      </c>
      <c r="K7" s="51">
        <v>6.9219999999999997</v>
      </c>
      <c r="L7" s="60">
        <v>28.333333333333332</v>
      </c>
      <c r="M7" s="60">
        <f t="shared" si="0"/>
        <v>32.160355690271572</v>
      </c>
      <c r="N7" s="60">
        <v>58.333333333333336</v>
      </c>
      <c r="O7" s="60">
        <f t="shared" si="1"/>
        <v>49.797034113430229</v>
      </c>
      <c r="P7">
        <v>0.41</v>
      </c>
      <c r="Q7">
        <v>3.177</v>
      </c>
      <c r="R7">
        <v>2.093</v>
      </c>
    </row>
    <row r="8" spans="1:18">
      <c r="A8">
        <v>3</v>
      </c>
      <c r="B8" t="s">
        <v>358</v>
      </c>
      <c r="C8" t="s">
        <v>136</v>
      </c>
      <c r="D8" t="s">
        <v>450</v>
      </c>
      <c r="E8" t="s">
        <v>332</v>
      </c>
      <c r="F8">
        <v>3.65</v>
      </c>
      <c r="G8">
        <v>4.9000000000000004</v>
      </c>
      <c r="H8">
        <v>141.6</v>
      </c>
      <c r="I8">
        <v>1.47</v>
      </c>
      <c r="J8">
        <v>3.56</v>
      </c>
      <c r="K8" s="51">
        <v>6.63</v>
      </c>
      <c r="L8" s="60">
        <v>20</v>
      </c>
      <c r="M8" s="60">
        <f t="shared" si="0"/>
        <v>26.56505117707799</v>
      </c>
      <c r="N8" s="60">
        <v>61.666666666666671</v>
      </c>
      <c r="O8" s="60">
        <f t="shared" si="1"/>
        <v>51.746699410775847</v>
      </c>
      <c r="P8">
        <v>0.41299999999999998</v>
      </c>
      <c r="Q8">
        <v>3.43</v>
      </c>
      <c r="R8">
        <v>2.0179999999999998</v>
      </c>
    </row>
    <row r="9" spans="1:18">
      <c r="A9">
        <v>3</v>
      </c>
      <c r="B9" t="s">
        <v>358</v>
      </c>
      <c r="C9" t="s">
        <v>136</v>
      </c>
      <c r="D9" t="s">
        <v>450</v>
      </c>
      <c r="E9" t="s">
        <v>332</v>
      </c>
      <c r="F9">
        <v>2.1</v>
      </c>
      <c r="G9">
        <v>3.97</v>
      </c>
      <c r="H9">
        <v>148.4</v>
      </c>
      <c r="I9">
        <v>0.46</v>
      </c>
      <c r="J9">
        <v>3.63</v>
      </c>
      <c r="K9" s="51">
        <v>5.4109999999999996</v>
      </c>
      <c r="L9" s="60">
        <v>21.666666666666668</v>
      </c>
      <c r="M9" s="60">
        <f t="shared" si="0"/>
        <v>27.740946079469367</v>
      </c>
      <c r="N9" s="60">
        <v>58.333333333333336</v>
      </c>
      <c r="O9" s="60">
        <f t="shared" si="1"/>
        <v>49.797034113430229</v>
      </c>
      <c r="P9">
        <v>0.36099999999999999</v>
      </c>
      <c r="Q9">
        <v>2.9750000000000001</v>
      </c>
      <c r="R9">
        <v>2.0510000000000002</v>
      </c>
    </row>
    <row r="10" spans="1:18">
      <c r="A10">
        <v>3</v>
      </c>
      <c r="B10" t="s">
        <v>358</v>
      </c>
      <c r="C10" t="s">
        <v>136</v>
      </c>
      <c r="D10" t="s">
        <v>450</v>
      </c>
      <c r="E10" t="s">
        <v>332</v>
      </c>
      <c r="F10">
        <v>2.09</v>
      </c>
      <c r="G10">
        <v>4.42</v>
      </c>
      <c r="H10">
        <v>139.80000000000001</v>
      </c>
      <c r="I10">
        <v>1.93</v>
      </c>
      <c r="J10">
        <v>3.72</v>
      </c>
      <c r="K10" s="51">
        <v>5.4139999999999997</v>
      </c>
      <c r="L10" s="60">
        <v>16.666666666666664</v>
      </c>
      <c r="M10" s="60">
        <f t="shared" si="0"/>
        <v>24.094842552110698</v>
      </c>
      <c r="N10" s="60">
        <v>51.666666666666671</v>
      </c>
      <c r="O10" s="60">
        <f t="shared" si="1"/>
        <v>45.955106585854971</v>
      </c>
      <c r="P10">
        <v>0.38700000000000001</v>
      </c>
      <c r="Q10">
        <v>3.0059999999999998</v>
      </c>
      <c r="R10">
        <v>1.9810000000000001</v>
      </c>
    </row>
    <row r="11" spans="1:18">
      <c r="A11">
        <v>3</v>
      </c>
      <c r="B11" t="s">
        <v>359</v>
      </c>
      <c r="C11" t="s">
        <v>321</v>
      </c>
      <c r="D11" t="s">
        <v>450</v>
      </c>
      <c r="E11" t="s">
        <v>332</v>
      </c>
      <c r="F11">
        <v>1.77</v>
      </c>
      <c r="G11">
        <v>3.77</v>
      </c>
      <c r="H11">
        <v>149.30000000000001</v>
      </c>
      <c r="I11">
        <v>0.92</v>
      </c>
      <c r="J11">
        <v>3.66</v>
      </c>
      <c r="K11" s="51">
        <v>6.9169999999999998</v>
      </c>
      <c r="L11" s="60">
        <v>28.333333333333332</v>
      </c>
      <c r="M11" s="60">
        <f t="shared" si="0"/>
        <v>32.160355690271572</v>
      </c>
      <c r="N11" s="60">
        <v>58.333333333333336</v>
      </c>
      <c r="O11" s="60">
        <f t="shared" si="1"/>
        <v>49.797034113430229</v>
      </c>
      <c r="P11">
        <v>0.40699999999999997</v>
      </c>
      <c r="Q11">
        <v>2.8479999999999999</v>
      </c>
      <c r="R11">
        <v>2.1560000000000001</v>
      </c>
    </row>
    <row r="12" spans="1:18">
      <c r="A12">
        <v>3</v>
      </c>
      <c r="B12" t="s">
        <v>359</v>
      </c>
      <c r="C12" t="s">
        <v>321</v>
      </c>
      <c r="D12" t="s">
        <v>450</v>
      </c>
      <c r="E12" t="s">
        <v>332</v>
      </c>
      <c r="F12">
        <v>4.6399999999999997</v>
      </c>
      <c r="G12">
        <v>5.3</v>
      </c>
      <c r="H12">
        <v>150.6</v>
      </c>
      <c r="I12">
        <v>1.41</v>
      </c>
      <c r="J12">
        <v>3.41</v>
      </c>
      <c r="K12" s="51">
        <v>9.8640000000000008</v>
      </c>
      <c r="L12" s="60">
        <v>28.333333333333332</v>
      </c>
      <c r="M12" s="60">
        <f t="shared" si="0"/>
        <v>32.160355690271572</v>
      </c>
      <c r="N12" s="60">
        <v>60</v>
      </c>
      <c r="O12" s="60">
        <f t="shared" si="1"/>
        <v>50.768479516407751</v>
      </c>
      <c r="P12">
        <v>0.42299999999999999</v>
      </c>
      <c r="Q12">
        <v>3.5230000000000001</v>
      </c>
      <c r="R12">
        <v>2.2410000000000001</v>
      </c>
    </row>
    <row r="13" spans="1:18">
      <c r="A13">
        <v>3</v>
      </c>
      <c r="B13" t="s">
        <v>359</v>
      </c>
      <c r="C13" t="s">
        <v>321</v>
      </c>
      <c r="D13" t="s">
        <v>450</v>
      </c>
      <c r="E13" t="s">
        <v>332</v>
      </c>
      <c r="F13">
        <v>2.84</v>
      </c>
      <c r="G13">
        <v>4.8600000000000003</v>
      </c>
      <c r="H13">
        <v>160.4</v>
      </c>
      <c r="I13">
        <v>1.72</v>
      </c>
      <c r="J13">
        <v>3.46</v>
      </c>
      <c r="K13" s="51">
        <v>8.5960000000000001</v>
      </c>
      <c r="L13" s="60">
        <v>16.666666666666664</v>
      </c>
      <c r="M13" s="60">
        <f t="shared" si="0"/>
        <v>24.094842552110698</v>
      </c>
      <c r="N13" s="60">
        <v>68.333333333333329</v>
      </c>
      <c r="O13" s="60">
        <f t="shared" si="1"/>
        <v>55.755094133443734</v>
      </c>
      <c r="P13">
        <v>0.438</v>
      </c>
      <c r="Q13">
        <v>3.3420000000000001</v>
      </c>
      <c r="R13">
        <v>2.2410000000000001</v>
      </c>
    </row>
    <row r="14" spans="1:18">
      <c r="A14">
        <v>3</v>
      </c>
      <c r="B14" t="s">
        <v>360</v>
      </c>
      <c r="C14" t="s">
        <v>322</v>
      </c>
      <c r="D14" t="s">
        <v>450</v>
      </c>
      <c r="E14" t="s">
        <v>332</v>
      </c>
      <c r="F14">
        <v>3.21</v>
      </c>
      <c r="G14">
        <v>4.38</v>
      </c>
      <c r="H14">
        <v>149.1</v>
      </c>
      <c r="I14">
        <v>1.57</v>
      </c>
      <c r="J14">
        <v>3.22</v>
      </c>
      <c r="K14" s="51">
        <v>8.7949999999999999</v>
      </c>
      <c r="L14" s="60">
        <v>25</v>
      </c>
      <c r="M14" s="60">
        <f t="shared" si="0"/>
        <v>30.000000000000004</v>
      </c>
      <c r="N14" s="60">
        <v>55.000000000000007</v>
      </c>
      <c r="O14" s="60">
        <f t="shared" si="1"/>
        <v>47.869585238633384</v>
      </c>
      <c r="P14">
        <v>0.34799999999999998</v>
      </c>
      <c r="Q14">
        <v>3.157</v>
      </c>
      <c r="R14">
        <v>2.0630000000000002</v>
      </c>
    </row>
    <row r="15" spans="1:18">
      <c r="A15">
        <v>3</v>
      </c>
      <c r="B15" t="s">
        <v>360</v>
      </c>
      <c r="C15" t="s">
        <v>322</v>
      </c>
      <c r="D15" t="s">
        <v>450</v>
      </c>
      <c r="E15" t="s">
        <v>332</v>
      </c>
      <c r="F15">
        <v>1.44</v>
      </c>
      <c r="G15">
        <v>3.63</v>
      </c>
      <c r="H15">
        <v>153.19999999999999</v>
      </c>
      <c r="I15">
        <v>1.26</v>
      </c>
      <c r="J15">
        <v>3.34</v>
      </c>
      <c r="K15" s="51">
        <v>7.306</v>
      </c>
      <c r="L15" s="60">
        <v>26.666666666666668</v>
      </c>
      <c r="M15" s="60">
        <f t="shared" si="0"/>
        <v>31.090930357673031</v>
      </c>
      <c r="N15" s="60">
        <v>58.333333333333336</v>
      </c>
      <c r="O15" s="60">
        <f t="shared" si="1"/>
        <v>49.797034113430229</v>
      </c>
      <c r="P15">
        <v>0.33100000000000002</v>
      </c>
      <c r="Q15">
        <v>2.73</v>
      </c>
      <c r="R15">
        <v>1.9870000000000001</v>
      </c>
    </row>
    <row r="16" spans="1:18">
      <c r="A16">
        <v>3</v>
      </c>
      <c r="B16" t="s">
        <v>360</v>
      </c>
      <c r="C16" t="s">
        <v>322</v>
      </c>
      <c r="D16" t="s">
        <v>450</v>
      </c>
      <c r="E16" t="s">
        <v>332</v>
      </c>
      <c r="F16">
        <v>1.46</v>
      </c>
      <c r="G16">
        <v>3.91</v>
      </c>
      <c r="H16">
        <v>142.80000000000001</v>
      </c>
      <c r="I16">
        <v>1.1599999999999999</v>
      </c>
      <c r="J16">
        <v>3.42</v>
      </c>
      <c r="K16" s="51">
        <v>7.5789999999999997</v>
      </c>
      <c r="L16" s="60">
        <v>25</v>
      </c>
      <c r="M16" s="60">
        <f t="shared" si="0"/>
        <v>30.000000000000004</v>
      </c>
      <c r="N16" s="60">
        <v>56.666666666666664</v>
      </c>
      <c r="O16" s="60">
        <f t="shared" si="1"/>
        <v>48.831127830383032</v>
      </c>
      <c r="P16">
        <v>0.32300000000000001</v>
      </c>
      <c r="Q16">
        <v>2.847</v>
      </c>
      <c r="R16">
        <v>1.8720000000000001</v>
      </c>
    </row>
    <row r="17" spans="1:18">
      <c r="A17">
        <v>3</v>
      </c>
      <c r="B17" t="s">
        <v>361</v>
      </c>
      <c r="C17" t="s">
        <v>148</v>
      </c>
      <c r="D17" t="s">
        <v>450</v>
      </c>
      <c r="E17" t="s">
        <v>332</v>
      </c>
      <c r="F17">
        <v>0.4</v>
      </c>
      <c r="G17">
        <v>1.54</v>
      </c>
      <c r="H17">
        <v>139</v>
      </c>
      <c r="I17">
        <v>2.08</v>
      </c>
      <c r="J17">
        <v>3.47</v>
      </c>
      <c r="K17" s="51">
        <v>4.234</v>
      </c>
      <c r="L17" s="60">
        <v>40</v>
      </c>
      <c r="M17" s="60">
        <f t="shared" si="0"/>
        <v>39.231520483592263</v>
      </c>
      <c r="N17" s="60">
        <v>63.333333333333329</v>
      </c>
      <c r="O17" s="60">
        <f t="shared" si="1"/>
        <v>52.733004976710276</v>
      </c>
      <c r="P17">
        <v>0.26300000000000001</v>
      </c>
      <c r="Q17">
        <v>2.0720000000000001</v>
      </c>
      <c r="R17">
        <v>1.6839999999999999</v>
      </c>
    </row>
    <row r="18" spans="1:18">
      <c r="A18">
        <v>3</v>
      </c>
      <c r="B18" t="s">
        <v>361</v>
      </c>
      <c r="C18" t="s">
        <v>148</v>
      </c>
      <c r="D18" t="s">
        <v>450</v>
      </c>
      <c r="E18" t="s">
        <v>332</v>
      </c>
      <c r="F18">
        <v>0.51</v>
      </c>
      <c r="G18">
        <v>1.34</v>
      </c>
      <c r="H18">
        <v>128.1</v>
      </c>
      <c r="I18">
        <v>2.25</v>
      </c>
      <c r="J18">
        <v>3.28</v>
      </c>
      <c r="K18" s="51">
        <v>4.2549999999999999</v>
      </c>
      <c r="L18" s="60">
        <v>51.666666666666671</v>
      </c>
      <c r="M18" s="60">
        <f t="shared" si="0"/>
        <v>45.955106585854971</v>
      </c>
      <c r="N18" s="60">
        <v>63.333333333333329</v>
      </c>
      <c r="O18" s="60">
        <f t="shared" si="1"/>
        <v>52.733004976710276</v>
      </c>
      <c r="P18">
        <v>0.39600000000000002</v>
      </c>
      <c r="Q18">
        <v>2.1869999999999998</v>
      </c>
      <c r="R18">
        <v>1.619</v>
      </c>
    </row>
    <row r="19" spans="1:18">
      <c r="A19">
        <v>3</v>
      </c>
      <c r="B19" t="s">
        <v>361</v>
      </c>
      <c r="C19" t="s">
        <v>148</v>
      </c>
      <c r="D19" t="s">
        <v>450</v>
      </c>
      <c r="E19" t="s">
        <v>332</v>
      </c>
      <c r="F19">
        <v>0.48</v>
      </c>
      <c r="G19">
        <v>1.32</v>
      </c>
      <c r="H19">
        <v>120.8</v>
      </c>
      <c r="I19">
        <v>2.2400000000000002</v>
      </c>
      <c r="J19">
        <v>3.47</v>
      </c>
      <c r="K19" s="51">
        <v>3.7349999999999999</v>
      </c>
      <c r="L19" s="60">
        <v>25</v>
      </c>
      <c r="M19" s="60">
        <f t="shared" si="0"/>
        <v>30.000000000000004</v>
      </c>
      <c r="N19" s="60">
        <v>53.333333333333336</v>
      </c>
      <c r="O19" s="60">
        <f t="shared" si="1"/>
        <v>46.911276864637173</v>
      </c>
      <c r="P19">
        <v>0.315</v>
      </c>
      <c r="Q19">
        <v>2.0209999999999999</v>
      </c>
      <c r="R19">
        <v>1.9330000000000001</v>
      </c>
    </row>
    <row r="20" spans="1:18">
      <c r="A20">
        <v>3</v>
      </c>
      <c r="B20" t="s">
        <v>362</v>
      </c>
      <c r="C20" t="s">
        <v>323</v>
      </c>
      <c r="D20" t="s">
        <v>450</v>
      </c>
      <c r="E20" t="s">
        <v>332</v>
      </c>
      <c r="F20">
        <v>0.27</v>
      </c>
      <c r="G20">
        <v>1.74</v>
      </c>
      <c r="H20">
        <v>144.5</v>
      </c>
      <c r="I20">
        <v>1.28</v>
      </c>
      <c r="J20">
        <v>3.55</v>
      </c>
      <c r="K20" s="51">
        <v>4.3419999999999996</v>
      </c>
      <c r="L20" s="60">
        <v>26.666666666666668</v>
      </c>
      <c r="M20" s="60">
        <f t="shared" si="0"/>
        <v>31.090930357673031</v>
      </c>
      <c r="N20" s="60">
        <v>65</v>
      </c>
      <c r="O20" s="60">
        <f t="shared" si="1"/>
        <v>53.728801561861061</v>
      </c>
      <c r="P20">
        <v>0.27400000000000002</v>
      </c>
      <c r="Q20">
        <v>2.008</v>
      </c>
      <c r="R20">
        <v>1.806</v>
      </c>
    </row>
    <row r="21" spans="1:18">
      <c r="A21">
        <v>3</v>
      </c>
      <c r="B21" t="s">
        <v>362</v>
      </c>
      <c r="C21" t="s">
        <v>323</v>
      </c>
      <c r="D21" t="s">
        <v>450</v>
      </c>
      <c r="E21" t="s">
        <v>332</v>
      </c>
      <c r="F21">
        <v>0.28000000000000003</v>
      </c>
      <c r="G21">
        <v>2.1800000000000002</v>
      </c>
      <c r="H21">
        <v>129.6</v>
      </c>
      <c r="I21">
        <v>1.23</v>
      </c>
      <c r="J21">
        <v>3.57</v>
      </c>
      <c r="K21" s="51">
        <v>4.766</v>
      </c>
      <c r="L21" s="60">
        <v>25</v>
      </c>
      <c r="M21" s="60">
        <f t="shared" si="0"/>
        <v>30.000000000000004</v>
      </c>
      <c r="N21" s="60">
        <v>68.333333333333329</v>
      </c>
      <c r="O21" s="60">
        <f t="shared" si="1"/>
        <v>55.755094133443734</v>
      </c>
      <c r="P21">
        <v>0.315</v>
      </c>
      <c r="Q21">
        <v>2.081</v>
      </c>
      <c r="R21">
        <v>1.7270000000000001</v>
      </c>
    </row>
    <row r="22" spans="1:18">
      <c r="A22">
        <v>3</v>
      </c>
      <c r="B22" t="s">
        <v>362</v>
      </c>
      <c r="C22" t="s">
        <v>323</v>
      </c>
      <c r="D22" t="s">
        <v>450</v>
      </c>
      <c r="E22" t="s">
        <v>332</v>
      </c>
      <c r="F22">
        <v>0.55000000000000004</v>
      </c>
      <c r="G22">
        <v>2.2200000000000002</v>
      </c>
      <c r="H22">
        <v>146</v>
      </c>
      <c r="I22">
        <v>1.98</v>
      </c>
      <c r="J22">
        <v>3.46</v>
      </c>
      <c r="K22" s="51">
        <v>4.9610000000000003</v>
      </c>
      <c r="L22" s="60">
        <v>35</v>
      </c>
      <c r="M22" s="60">
        <f t="shared" si="0"/>
        <v>36.271198438138953</v>
      </c>
      <c r="N22" s="60">
        <v>65</v>
      </c>
      <c r="O22" s="60">
        <f t="shared" si="1"/>
        <v>53.728801561861061</v>
      </c>
      <c r="P22">
        <v>0.34799999999999998</v>
      </c>
      <c r="Q22">
        <v>2.1920000000000002</v>
      </c>
      <c r="R22">
        <v>1.8939999999999999</v>
      </c>
    </row>
    <row r="23" spans="1:18">
      <c r="A23">
        <v>3</v>
      </c>
      <c r="B23" t="s">
        <v>374</v>
      </c>
      <c r="C23" t="s">
        <v>375</v>
      </c>
      <c r="D23" t="s">
        <v>450</v>
      </c>
      <c r="E23" t="s">
        <v>332</v>
      </c>
      <c r="F23">
        <v>0.3</v>
      </c>
      <c r="G23">
        <v>2.14</v>
      </c>
      <c r="H23">
        <v>148.4</v>
      </c>
      <c r="I23">
        <v>2.31</v>
      </c>
      <c r="J23">
        <v>3.57</v>
      </c>
      <c r="K23" s="51">
        <v>4.585</v>
      </c>
      <c r="L23" s="60">
        <v>26.666666666666668</v>
      </c>
      <c r="M23" s="60">
        <f t="shared" si="0"/>
        <v>31.090930357673031</v>
      </c>
      <c r="N23" s="60">
        <v>63.333333333333329</v>
      </c>
      <c r="O23" s="60">
        <f t="shared" si="1"/>
        <v>52.733004976710276</v>
      </c>
      <c r="P23">
        <v>0.33800000000000002</v>
      </c>
      <c r="Q23">
        <v>2.1419999999999999</v>
      </c>
      <c r="R23">
        <v>1.897</v>
      </c>
    </row>
    <row r="24" spans="1:18">
      <c r="A24">
        <v>3</v>
      </c>
      <c r="B24" t="s">
        <v>374</v>
      </c>
      <c r="C24" t="s">
        <v>375</v>
      </c>
      <c r="D24" t="s">
        <v>450</v>
      </c>
      <c r="E24" t="s">
        <v>332</v>
      </c>
      <c r="F24">
        <v>0.18</v>
      </c>
      <c r="G24">
        <v>2.37</v>
      </c>
      <c r="H24">
        <v>143</v>
      </c>
      <c r="I24">
        <v>2.2000000000000002</v>
      </c>
      <c r="J24">
        <v>3.49</v>
      </c>
      <c r="K24" s="51">
        <v>5.0220000000000002</v>
      </c>
      <c r="L24" s="60">
        <v>25</v>
      </c>
      <c r="M24" s="60">
        <f t="shared" si="0"/>
        <v>30.000000000000004</v>
      </c>
      <c r="N24" s="60">
        <v>68.333333333333329</v>
      </c>
      <c r="O24" s="60">
        <f t="shared" si="1"/>
        <v>55.755094133443734</v>
      </c>
      <c r="P24">
        <v>0.309</v>
      </c>
      <c r="Q24">
        <v>2.2519999999999998</v>
      </c>
      <c r="R24">
        <v>1.7529999999999999</v>
      </c>
    </row>
    <row r="25" spans="1:18">
      <c r="A25">
        <v>3</v>
      </c>
      <c r="B25" t="s">
        <v>374</v>
      </c>
      <c r="C25" t="s">
        <v>375</v>
      </c>
      <c r="D25" t="s">
        <v>450</v>
      </c>
      <c r="E25" t="s">
        <v>332</v>
      </c>
      <c r="F25">
        <v>0.39</v>
      </c>
      <c r="G25">
        <v>1.96</v>
      </c>
      <c r="H25">
        <v>172.6</v>
      </c>
      <c r="I25">
        <v>1.66</v>
      </c>
      <c r="J25">
        <v>3.52</v>
      </c>
      <c r="K25" s="51">
        <v>4.7240000000000002</v>
      </c>
      <c r="L25" s="60">
        <v>30</v>
      </c>
      <c r="M25" s="60">
        <f t="shared" si="0"/>
        <v>33.210910760899083</v>
      </c>
      <c r="N25" s="60">
        <v>63.333333333333329</v>
      </c>
      <c r="O25" s="60">
        <f t="shared" si="1"/>
        <v>52.733004976710276</v>
      </c>
      <c r="P25">
        <v>0.33400000000000002</v>
      </c>
      <c r="Q25">
        <v>2.1859999999999999</v>
      </c>
      <c r="R25">
        <v>1.917</v>
      </c>
    </row>
    <row r="26" spans="1:18">
      <c r="A26">
        <v>3</v>
      </c>
      <c r="B26" t="s">
        <v>363</v>
      </c>
      <c r="C26" t="s">
        <v>160</v>
      </c>
      <c r="D26" t="s">
        <v>450</v>
      </c>
      <c r="E26" t="s">
        <v>332</v>
      </c>
      <c r="F26">
        <v>0.34</v>
      </c>
      <c r="G26">
        <v>2.25</v>
      </c>
      <c r="H26">
        <v>131.1</v>
      </c>
      <c r="I26">
        <v>1.4</v>
      </c>
      <c r="J26">
        <v>3.53</v>
      </c>
      <c r="K26" s="51">
        <v>4.8529999999999998</v>
      </c>
      <c r="L26" s="60">
        <v>31.666666666666664</v>
      </c>
      <c r="M26" s="60">
        <f t="shared" si="0"/>
        <v>34.244905866556266</v>
      </c>
      <c r="N26" s="60">
        <v>63.333333333333329</v>
      </c>
      <c r="O26" s="60">
        <f t="shared" si="1"/>
        <v>52.733004976710276</v>
      </c>
      <c r="P26">
        <v>0.35399999999999998</v>
      </c>
      <c r="Q26">
        <v>2.2559999999999998</v>
      </c>
      <c r="R26">
        <v>1.796</v>
      </c>
    </row>
    <row r="27" spans="1:18">
      <c r="A27">
        <v>3</v>
      </c>
      <c r="B27" t="s">
        <v>363</v>
      </c>
      <c r="C27" t="s">
        <v>160</v>
      </c>
      <c r="D27" t="s">
        <v>450</v>
      </c>
      <c r="E27" t="s">
        <v>332</v>
      </c>
      <c r="F27">
        <v>0.82</v>
      </c>
      <c r="G27">
        <v>2.0099999999999998</v>
      </c>
      <c r="H27">
        <v>119.2</v>
      </c>
      <c r="I27">
        <v>1.66</v>
      </c>
      <c r="J27">
        <v>3.42</v>
      </c>
      <c r="K27" s="51">
        <v>5.2450000000000001</v>
      </c>
      <c r="L27" s="60">
        <v>23.333333333333332</v>
      </c>
      <c r="M27" s="60">
        <f t="shared" si="0"/>
        <v>28.884523682248947</v>
      </c>
      <c r="N27" s="60">
        <v>65</v>
      </c>
      <c r="O27" s="60">
        <f t="shared" si="1"/>
        <v>53.728801561861061</v>
      </c>
      <c r="P27">
        <v>0.40400000000000003</v>
      </c>
      <c r="Q27">
        <v>2.3250000000000002</v>
      </c>
      <c r="R27">
        <v>1.722</v>
      </c>
    </row>
    <row r="28" spans="1:18">
      <c r="A28">
        <v>3</v>
      </c>
      <c r="B28" t="s">
        <v>363</v>
      </c>
      <c r="C28" t="s">
        <v>160</v>
      </c>
      <c r="D28" t="s">
        <v>450</v>
      </c>
      <c r="E28" t="s">
        <v>332</v>
      </c>
      <c r="F28">
        <v>0.47</v>
      </c>
      <c r="G28">
        <v>2</v>
      </c>
      <c r="H28">
        <v>146.30000000000001</v>
      </c>
      <c r="I28">
        <v>1.1499999999999999</v>
      </c>
      <c r="J28">
        <v>3.5</v>
      </c>
      <c r="K28" s="51">
        <v>4.6970000000000001</v>
      </c>
      <c r="L28" s="60">
        <v>35</v>
      </c>
      <c r="M28" s="60">
        <f t="shared" si="0"/>
        <v>36.271198438138953</v>
      </c>
      <c r="N28" s="60">
        <v>71.666666666666671</v>
      </c>
      <c r="O28" s="60">
        <f t="shared" si="1"/>
        <v>57.839644309728435</v>
      </c>
      <c r="P28">
        <v>0.39</v>
      </c>
      <c r="Q28">
        <v>2.173</v>
      </c>
      <c r="R28">
        <v>1.893</v>
      </c>
    </row>
    <row r="29" spans="1:18">
      <c r="A29">
        <v>3</v>
      </c>
      <c r="B29" t="s">
        <v>56</v>
      </c>
      <c r="C29" t="s">
        <v>320</v>
      </c>
      <c r="D29" t="s">
        <v>451</v>
      </c>
      <c r="E29" t="s">
        <v>333</v>
      </c>
      <c r="F29">
        <v>1.07</v>
      </c>
      <c r="G29">
        <v>4.17</v>
      </c>
      <c r="H29">
        <v>164.8</v>
      </c>
      <c r="I29">
        <v>2.23</v>
      </c>
      <c r="J29">
        <v>3.68</v>
      </c>
      <c r="K29" s="51">
        <v>7.12</v>
      </c>
      <c r="L29" s="60">
        <v>30</v>
      </c>
      <c r="M29" s="60">
        <f t="shared" si="0"/>
        <v>33.210910760899083</v>
      </c>
      <c r="N29" s="60">
        <v>60</v>
      </c>
      <c r="O29" s="60">
        <f t="shared" si="1"/>
        <v>50.768479516407751</v>
      </c>
      <c r="P29">
        <v>0.40799999999999997</v>
      </c>
      <c r="Q29">
        <v>2.5449999999999999</v>
      </c>
      <c r="R29">
        <v>2.0129999999999999</v>
      </c>
    </row>
    <row r="30" spans="1:18">
      <c r="A30">
        <v>3</v>
      </c>
      <c r="B30" t="s">
        <v>56</v>
      </c>
      <c r="C30" t="s">
        <v>320</v>
      </c>
      <c r="D30" t="s">
        <v>451</v>
      </c>
      <c r="E30" t="s">
        <v>333</v>
      </c>
      <c r="F30">
        <v>1.19</v>
      </c>
      <c r="G30">
        <v>3.46</v>
      </c>
      <c r="H30">
        <v>182.1</v>
      </c>
      <c r="I30">
        <v>1.53</v>
      </c>
      <c r="J30">
        <v>3.63</v>
      </c>
      <c r="K30" s="51">
        <v>6.4669999999999996</v>
      </c>
      <c r="L30" s="60">
        <v>20</v>
      </c>
      <c r="M30" s="60">
        <f t="shared" si="0"/>
        <v>26.56505117707799</v>
      </c>
      <c r="N30" s="60">
        <v>46.666666666666664</v>
      </c>
      <c r="O30" s="60">
        <f t="shared" si="1"/>
        <v>43.08872313536282</v>
      </c>
      <c r="P30">
        <v>0.39700000000000002</v>
      </c>
      <c r="Q30">
        <v>2.589</v>
      </c>
      <c r="R30">
        <v>2.1819999999999999</v>
      </c>
    </row>
    <row r="31" spans="1:18">
      <c r="A31">
        <v>3</v>
      </c>
      <c r="B31" t="s">
        <v>56</v>
      </c>
      <c r="C31" t="s">
        <v>320</v>
      </c>
      <c r="D31" t="s">
        <v>451</v>
      </c>
      <c r="E31" t="s">
        <v>333</v>
      </c>
      <c r="F31">
        <v>1.35</v>
      </c>
      <c r="G31">
        <v>4.7</v>
      </c>
      <c r="H31">
        <v>163.9</v>
      </c>
      <c r="I31">
        <v>1.9</v>
      </c>
      <c r="J31">
        <v>3.73</v>
      </c>
      <c r="K31" s="51">
        <v>7.6479999999999997</v>
      </c>
      <c r="L31" s="60">
        <v>21.666666666666668</v>
      </c>
      <c r="M31" s="60">
        <f t="shared" si="0"/>
        <v>27.740946079469367</v>
      </c>
      <c r="N31" s="60">
        <v>51.666666666666671</v>
      </c>
      <c r="O31" s="60">
        <f t="shared" si="1"/>
        <v>45.955106585854971</v>
      </c>
      <c r="P31">
        <v>0.53900000000000003</v>
      </c>
      <c r="Q31">
        <v>2.6589999999999998</v>
      </c>
      <c r="R31">
        <v>2.2080000000000002</v>
      </c>
    </row>
    <row r="32" spans="1:18">
      <c r="A32">
        <v>3</v>
      </c>
      <c r="B32" t="s">
        <v>60</v>
      </c>
      <c r="C32" t="s">
        <v>132</v>
      </c>
      <c r="D32" t="s">
        <v>451</v>
      </c>
      <c r="E32" t="s">
        <v>333</v>
      </c>
      <c r="F32">
        <v>3.66</v>
      </c>
      <c r="G32">
        <v>4.8</v>
      </c>
      <c r="H32">
        <v>157.19999999999999</v>
      </c>
      <c r="I32">
        <v>1.24</v>
      </c>
      <c r="J32">
        <v>3.38</v>
      </c>
      <c r="K32" s="51">
        <v>8.9160000000000004</v>
      </c>
      <c r="L32" s="60">
        <v>26.666666666666668</v>
      </c>
      <c r="M32" s="60">
        <f t="shared" si="0"/>
        <v>31.090930357673031</v>
      </c>
      <c r="N32" s="60">
        <v>58.333333333333336</v>
      </c>
      <c r="O32" s="60">
        <f t="shared" si="1"/>
        <v>49.797034113430229</v>
      </c>
      <c r="P32">
        <v>0.43</v>
      </c>
      <c r="Q32">
        <v>3.2280000000000002</v>
      </c>
      <c r="R32">
        <v>2.161</v>
      </c>
    </row>
    <row r="33" spans="1:18">
      <c r="A33">
        <v>3</v>
      </c>
      <c r="B33" t="s">
        <v>60</v>
      </c>
      <c r="C33" t="s">
        <v>132</v>
      </c>
      <c r="D33" t="s">
        <v>451</v>
      </c>
      <c r="E33" t="s">
        <v>333</v>
      </c>
      <c r="F33">
        <v>3.99</v>
      </c>
      <c r="G33">
        <v>5.35</v>
      </c>
      <c r="H33">
        <v>144.5</v>
      </c>
      <c r="I33">
        <v>1.59</v>
      </c>
      <c r="J33">
        <v>3.29</v>
      </c>
      <c r="K33" s="51">
        <v>9.9060000000000006</v>
      </c>
      <c r="L33" s="60">
        <v>26.666666666666668</v>
      </c>
      <c r="M33" s="60">
        <f t="shared" si="0"/>
        <v>31.090930357673031</v>
      </c>
      <c r="N33" s="60">
        <v>65</v>
      </c>
      <c r="O33" s="60">
        <f t="shared" si="1"/>
        <v>53.728801561861061</v>
      </c>
      <c r="P33">
        <v>0.433</v>
      </c>
      <c r="Q33">
        <v>3.27</v>
      </c>
      <c r="R33">
        <v>2.044</v>
      </c>
    </row>
    <row r="34" spans="1:18">
      <c r="A34">
        <v>3</v>
      </c>
      <c r="B34" t="s">
        <v>60</v>
      </c>
      <c r="C34" t="s">
        <v>132</v>
      </c>
      <c r="D34" t="s">
        <v>451</v>
      </c>
      <c r="E34" t="s">
        <v>333</v>
      </c>
      <c r="F34">
        <v>3.33</v>
      </c>
      <c r="G34">
        <v>4.2</v>
      </c>
      <c r="H34">
        <v>149.9</v>
      </c>
      <c r="I34">
        <v>1.47</v>
      </c>
      <c r="J34">
        <v>3.27</v>
      </c>
      <c r="K34" s="51">
        <v>8.6080000000000005</v>
      </c>
      <c r="L34" s="60">
        <v>20</v>
      </c>
      <c r="M34" s="60">
        <f t="shared" si="0"/>
        <v>26.56505117707799</v>
      </c>
      <c r="N34" s="60">
        <v>53.333333333333336</v>
      </c>
      <c r="O34" s="60">
        <f t="shared" si="1"/>
        <v>46.911276864637173</v>
      </c>
      <c r="P34">
        <v>0.39600000000000002</v>
      </c>
      <c r="Q34">
        <v>3.3180000000000001</v>
      </c>
      <c r="R34">
        <v>2.0059999999999998</v>
      </c>
    </row>
    <row r="35" spans="1:18">
      <c r="A35">
        <v>3</v>
      </c>
      <c r="B35" t="s">
        <v>64</v>
      </c>
      <c r="C35" t="s">
        <v>136</v>
      </c>
      <c r="D35" t="s">
        <v>451</v>
      </c>
      <c r="E35" t="s">
        <v>333</v>
      </c>
      <c r="F35">
        <v>3.21</v>
      </c>
      <c r="G35">
        <v>5.7</v>
      </c>
      <c r="H35">
        <v>148</v>
      </c>
      <c r="I35">
        <v>1.8</v>
      </c>
      <c r="J35">
        <v>3.48</v>
      </c>
      <c r="K35" s="51">
        <v>9.3670000000000009</v>
      </c>
      <c r="L35" s="60">
        <v>35</v>
      </c>
      <c r="M35" s="60">
        <f t="shared" si="0"/>
        <v>36.271198438138953</v>
      </c>
      <c r="N35" s="60">
        <v>61.666666666666671</v>
      </c>
      <c r="O35" s="60">
        <f t="shared" si="1"/>
        <v>51.746699410775847</v>
      </c>
      <c r="P35">
        <v>0.45200000000000001</v>
      </c>
      <c r="Q35">
        <v>3.2770000000000001</v>
      </c>
      <c r="R35">
        <v>2.0409999999999999</v>
      </c>
    </row>
    <row r="36" spans="1:18">
      <c r="A36">
        <v>3</v>
      </c>
      <c r="B36" t="s">
        <v>64</v>
      </c>
      <c r="C36" t="s">
        <v>136</v>
      </c>
      <c r="D36" t="s">
        <v>451</v>
      </c>
      <c r="E36" t="s">
        <v>333</v>
      </c>
      <c r="F36">
        <v>2.13</v>
      </c>
      <c r="G36">
        <v>3.75</v>
      </c>
      <c r="H36">
        <v>159.30000000000001</v>
      </c>
      <c r="I36">
        <v>1.81</v>
      </c>
      <c r="J36">
        <v>3.42</v>
      </c>
      <c r="K36" s="51">
        <v>7.0949999999999998</v>
      </c>
      <c r="L36" s="60">
        <v>43.333333333333336</v>
      </c>
      <c r="M36" s="60">
        <f t="shared" si="0"/>
        <v>41.168872169616975</v>
      </c>
      <c r="N36" s="60">
        <v>61.666666666666671</v>
      </c>
      <c r="O36" s="60">
        <f t="shared" si="1"/>
        <v>51.746699410775847</v>
      </c>
      <c r="P36">
        <v>0.41</v>
      </c>
      <c r="Q36">
        <v>2.524</v>
      </c>
      <c r="R36">
        <v>2.0590000000000002</v>
      </c>
    </row>
    <row r="37" spans="1:18">
      <c r="A37">
        <v>3</v>
      </c>
      <c r="B37" t="s">
        <v>64</v>
      </c>
      <c r="C37" t="s">
        <v>136</v>
      </c>
      <c r="D37" t="s">
        <v>451</v>
      </c>
      <c r="E37" t="s">
        <v>333</v>
      </c>
      <c r="F37">
        <v>1.28</v>
      </c>
      <c r="G37">
        <v>3.1</v>
      </c>
      <c r="H37">
        <v>165.3</v>
      </c>
      <c r="I37">
        <v>2.27</v>
      </c>
      <c r="J37">
        <v>3.65</v>
      </c>
      <c r="K37" s="51">
        <v>6.0990000000000002</v>
      </c>
      <c r="L37" s="60">
        <v>45</v>
      </c>
      <c r="M37" s="60">
        <f t="shared" si="0"/>
        <v>42.130414761366609</v>
      </c>
      <c r="N37" s="60">
        <v>58.333333333333336</v>
      </c>
      <c r="O37" s="60">
        <f t="shared" si="1"/>
        <v>49.797034113430229</v>
      </c>
      <c r="P37">
        <v>0.40500000000000003</v>
      </c>
      <c r="Q37">
        <v>2.5390000000000001</v>
      </c>
      <c r="R37">
        <v>2.0329999999999999</v>
      </c>
    </row>
    <row r="38" spans="1:18">
      <c r="A38">
        <v>3</v>
      </c>
      <c r="B38" t="s">
        <v>68</v>
      </c>
      <c r="C38" t="s">
        <v>321</v>
      </c>
      <c r="D38" t="s">
        <v>451</v>
      </c>
      <c r="E38" t="s">
        <v>333</v>
      </c>
      <c r="F38">
        <v>0.93</v>
      </c>
      <c r="G38">
        <v>3.34</v>
      </c>
      <c r="H38">
        <v>129</v>
      </c>
      <c r="I38">
        <v>2.15</v>
      </c>
      <c r="J38">
        <v>3.6</v>
      </c>
      <c r="K38" s="51">
        <v>6.8360000000000003</v>
      </c>
      <c r="L38" s="60">
        <v>48.333333333333336</v>
      </c>
      <c r="M38" s="60">
        <f t="shared" si="0"/>
        <v>44.044893414145029</v>
      </c>
      <c r="N38" s="60">
        <v>65</v>
      </c>
      <c r="O38" s="60">
        <f t="shared" si="1"/>
        <v>53.728801561861061</v>
      </c>
      <c r="P38">
        <v>0.34899999999999998</v>
      </c>
      <c r="Q38">
        <v>2.754</v>
      </c>
      <c r="R38">
        <v>1.996</v>
      </c>
    </row>
    <row r="39" spans="1:18">
      <c r="A39">
        <v>3</v>
      </c>
      <c r="B39" t="s">
        <v>68</v>
      </c>
      <c r="C39" t="s">
        <v>321</v>
      </c>
      <c r="D39" t="s">
        <v>451</v>
      </c>
      <c r="E39" t="s">
        <v>333</v>
      </c>
      <c r="F39">
        <v>2.3199999999999998</v>
      </c>
      <c r="G39">
        <v>3.52</v>
      </c>
      <c r="H39">
        <v>152.6</v>
      </c>
      <c r="I39">
        <v>2.0499999999999998</v>
      </c>
      <c r="J39">
        <v>3.52</v>
      </c>
      <c r="K39" s="51">
        <v>6.9180000000000001</v>
      </c>
      <c r="L39" s="60">
        <v>35</v>
      </c>
      <c r="M39" s="60">
        <f t="shared" si="0"/>
        <v>36.271198438138953</v>
      </c>
      <c r="N39" s="60">
        <v>53.333333333333336</v>
      </c>
      <c r="O39" s="60">
        <f t="shared" si="1"/>
        <v>46.911276864637173</v>
      </c>
      <c r="P39">
        <v>0.38600000000000001</v>
      </c>
      <c r="Q39">
        <v>2.9430000000000001</v>
      </c>
      <c r="R39">
        <v>2.0059999999999998</v>
      </c>
    </row>
    <row r="40" spans="1:18">
      <c r="A40">
        <v>3</v>
      </c>
      <c r="B40" t="s">
        <v>68</v>
      </c>
      <c r="C40" t="s">
        <v>321</v>
      </c>
      <c r="D40" t="s">
        <v>451</v>
      </c>
      <c r="E40" t="s">
        <v>333</v>
      </c>
      <c r="F40">
        <v>3.26</v>
      </c>
      <c r="G40">
        <v>5.41</v>
      </c>
      <c r="H40">
        <v>154.6</v>
      </c>
      <c r="I40">
        <v>2.14</v>
      </c>
      <c r="J40">
        <v>3.49</v>
      </c>
      <c r="K40" s="51">
        <v>9.0630000000000006</v>
      </c>
      <c r="L40" s="60">
        <v>28.333333333333332</v>
      </c>
      <c r="M40" s="60">
        <f t="shared" si="0"/>
        <v>32.160355690271572</v>
      </c>
      <c r="N40" s="60">
        <v>68.333333333333329</v>
      </c>
      <c r="O40" s="60">
        <f t="shared" si="1"/>
        <v>55.755094133443734</v>
      </c>
      <c r="P40">
        <v>0.439</v>
      </c>
      <c r="Q40">
        <v>3.2650000000000001</v>
      </c>
      <c r="R40">
        <v>2.09</v>
      </c>
    </row>
    <row r="41" spans="1:18">
      <c r="A41">
        <v>3</v>
      </c>
      <c r="B41" t="s">
        <v>72</v>
      </c>
      <c r="C41" t="s">
        <v>322</v>
      </c>
      <c r="D41" t="s">
        <v>451</v>
      </c>
      <c r="E41" t="s">
        <v>333</v>
      </c>
      <c r="F41">
        <v>0.99</v>
      </c>
      <c r="G41">
        <v>3.03</v>
      </c>
      <c r="H41">
        <v>157.6</v>
      </c>
      <c r="I41">
        <v>1.32</v>
      </c>
      <c r="J41">
        <v>3.38</v>
      </c>
      <c r="K41" s="51">
        <v>6.069</v>
      </c>
      <c r="L41" s="60">
        <v>23.333333333333332</v>
      </c>
      <c r="M41" s="60">
        <f t="shared" si="0"/>
        <v>28.884523682248947</v>
      </c>
      <c r="N41" s="60">
        <v>50</v>
      </c>
      <c r="O41" s="60">
        <f t="shared" si="1"/>
        <v>45.000000000000007</v>
      </c>
      <c r="P41">
        <v>0.33300000000000002</v>
      </c>
      <c r="Q41">
        <v>2.077</v>
      </c>
      <c r="R41">
        <v>1.851</v>
      </c>
    </row>
    <row r="42" spans="1:18">
      <c r="A42">
        <v>3</v>
      </c>
      <c r="B42" t="s">
        <v>72</v>
      </c>
      <c r="C42" t="s">
        <v>322</v>
      </c>
      <c r="D42" t="s">
        <v>451</v>
      </c>
      <c r="E42" t="s">
        <v>333</v>
      </c>
      <c r="F42">
        <v>0.93</v>
      </c>
      <c r="G42">
        <v>2.38</v>
      </c>
      <c r="H42">
        <v>174</v>
      </c>
      <c r="I42">
        <v>1.41</v>
      </c>
      <c r="J42">
        <v>3.5</v>
      </c>
      <c r="K42" s="51">
        <v>5.2350000000000003</v>
      </c>
      <c r="L42" s="60">
        <v>16.666666666666664</v>
      </c>
      <c r="M42" s="60">
        <f t="shared" si="0"/>
        <v>24.094842552110698</v>
      </c>
      <c r="N42" s="60">
        <v>45</v>
      </c>
      <c r="O42" s="60">
        <f t="shared" si="1"/>
        <v>42.130414761366609</v>
      </c>
      <c r="P42">
        <v>0.34100000000000003</v>
      </c>
      <c r="Q42">
        <v>2.13</v>
      </c>
      <c r="R42">
        <v>2.0270000000000001</v>
      </c>
    </row>
    <row r="43" spans="1:18">
      <c r="A43">
        <v>3</v>
      </c>
      <c r="B43" t="s">
        <v>72</v>
      </c>
      <c r="C43" t="s">
        <v>322</v>
      </c>
      <c r="D43" t="s">
        <v>451</v>
      </c>
      <c r="E43" t="s">
        <v>333</v>
      </c>
      <c r="F43">
        <v>0.87</v>
      </c>
      <c r="G43">
        <v>2.42</v>
      </c>
      <c r="H43">
        <v>156.30000000000001</v>
      </c>
      <c r="I43">
        <v>1.48</v>
      </c>
      <c r="J43">
        <v>3.38</v>
      </c>
      <c r="K43" s="51">
        <v>5.3209999999999997</v>
      </c>
      <c r="L43" s="60">
        <v>16.666666666666664</v>
      </c>
      <c r="M43" s="60">
        <f t="shared" si="0"/>
        <v>24.094842552110698</v>
      </c>
      <c r="N43" s="60">
        <v>40</v>
      </c>
      <c r="O43" s="60">
        <f t="shared" si="1"/>
        <v>39.231520483592263</v>
      </c>
      <c r="P43">
        <v>0.34799999999999998</v>
      </c>
      <c r="Q43">
        <v>2.0750000000000002</v>
      </c>
      <c r="R43">
        <v>1.9319999999999999</v>
      </c>
    </row>
    <row r="44" spans="1:18">
      <c r="A44">
        <v>3</v>
      </c>
      <c r="B44" t="s">
        <v>76</v>
      </c>
      <c r="C44" t="s">
        <v>148</v>
      </c>
      <c r="D44" t="s">
        <v>451</v>
      </c>
      <c r="E44" t="s">
        <v>333</v>
      </c>
      <c r="F44">
        <v>0.98</v>
      </c>
      <c r="G44">
        <v>1.52</v>
      </c>
      <c r="H44">
        <v>137.4</v>
      </c>
      <c r="I44">
        <v>2.6</v>
      </c>
      <c r="J44">
        <v>3.45</v>
      </c>
      <c r="K44" s="51">
        <v>4.1959999999999997</v>
      </c>
      <c r="L44" s="60">
        <v>41.666666666666671</v>
      </c>
      <c r="M44" s="60">
        <f t="shared" si="0"/>
        <v>40.202965886569778</v>
      </c>
      <c r="N44" s="60">
        <v>68.333333333333329</v>
      </c>
      <c r="O44" s="60">
        <f t="shared" si="1"/>
        <v>55.755094133443734</v>
      </c>
      <c r="P44">
        <v>0.33100000000000002</v>
      </c>
      <c r="Q44">
        <v>1.819</v>
      </c>
      <c r="R44">
        <v>1.7969999999999999</v>
      </c>
    </row>
    <row r="45" spans="1:18">
      <c r="A45">
        <v>3</v>
      </c>
      <c r="B45" t="s">
        <v>76</v>
      </c>
      <c r="C45" t="s">
        <v>148</v>
      </c>
      <c r="D45" t="s">
        <v>451</v>
      </c>
      <c r="E45" t="s">
        <v>333</v>
      </c>
      <c r="F45">
        <v>0.4</v>
      </c>
      <c r="G45">
        <v>0.88</v>
      </c>
      <c r="H45">
        <v>153</v>
      </c>
      <c r="I45">
        <v>1.59</v>
      </c>
      <c r="J45">
        <v>3.12</v>
      </c>
      <c r="K45" s="51">
        <v>3.762</v>
      </c>
      <c r="L45" s="60">
        <v>16.666666666666664</v>
      </c>
      <c r="M45" s="60">
        <f t="shared" si="0"/>
        <v>24.094842552110698</v>
      </c>
      <c r="N45" s="60">
        <v>53.333333333333336</v>
      </c>
      <c r="O45" s="60">
        <f t="shared" si="1"/>
        <v>46.911276864637173</v>
      </c>
      <c r="P45">
        <v>0.30199999999999999</v>
      </c>
      <c r="Q45">
        <v>1.9370000000000001</v>
      </c>
      <c r="R45">
        <v>1.786</v>
      </c>
    </row>
    <row r="46" spans="1:18">
      <c r="A46">
        <v>3</v>
      </c>
      <c r="B46" t="s">
        <v>76</v>
      </c>
      <c r="C46" t="s">
        <v>148</v>
      </c>
      <c r="D46" t="s">
        <v>451</v>
      </c>
      <c r="E46" t="s">
        <v>333</v>
      </c>
      <c r="F46">
        <v>0.28999999999999998</v>
      </c>
      <c r="G46">
        <v>1.03</v>
      </c>
      <c r="H46">
        <v>144.9</v>
      </c>
      <c r="I46">
        <v>2.2000000000000002</v>
      </c>
      <c r="J46">
        <v>3.27</v>
      </c>
      <c r="K46" s="51">
        <v>3.4740000000000002</v>
      </c>
      <c r="L46" s="60">
        <v>30</v>
      </c>
      <c r="M46" s="60">
        <f t="shared" si="0"/>
        <v>33.210910760899083</v>
      </c>
      <c r="N46" s="60">
        <v>58.333333333333336</v>
      </c>
      <c r="O46" s="60">
        <f t="shared" si="1"/>
        <v>49.797034113430229</v>
      </c>
      <c r="P46">
        <v>0.308</v>
      </c>
      <c r="Q46">
        <v>1.9159999999999999</v>
      </c>
      <c r="R46">
        <v>1.869</v>
      </c>
    </row>
    <row r="47" spans="1:18">
      <c r="A47">
        <v>3</v>
      </c>
      <c r="B47" t="s">
        <v>80</v>
      </c>
      <c r="C47" t="s">
        <v>323</v>
      </c>
      <c r="D47" t="s">
        <v>451</v>
      </c>
      <c r="E47" t="s">
        <v>333</v>
      </c>
      <c r="F47">
        <v>3.41</v>
      </c>
      <c r="G47">
        <v>4.12</v>
      </c>
      <c r="H47">
        <v>183.3</v>
      </c>
      <c r="I47">
        <v>1.99</v>
      </c>
      <c r="J47">
        <v>3.3</v>
      </c>
      <c r="K47" s="51">
        <v>8.1660000000000004</v>
      </c>
      <c r="L47" s="60">
        <v>35</v>
      </c>
      <c r="M47" s="60">
        <f t="shared" si="0"/>
        <v>36.271198438138953</v>
      </c>
      <c r="N47" s="60">
        <v>75</v>
      </c>
      <c r="O47" s="60">
        <f t="shared" si="1"/>
        <v>59.999999999999993</v>
      </c>
      <c r="P47">
        <v>0.32800000000000001</v>
      </c>
      <c r="Q47">
        <v>2.8279999999999998</v>
      </c>
      <c r="R47">
        <v>1.905</v>
      </c>
    </row>
    <row r="48" spans="1:18">
      <c r="A48">
        <v>3</v>
      </c>
      <c r="B48" t="s">
        <v>80</v>
      </c>
      <c r="C48" t="s">
        <v>323</v>
      </c>
      <c r="D48" t="s">
        <v>451</v>
      </c>
      <c r="E48" t="s">
        <v>333</v>
      </c>
      <c r="F48">
        <v>1.54</v>
      </c>
      <c r="G48">
        <v>3.26</v>
      </c>
      <c r="H48">
        <v>164.3</v>
      </c>
      <c r="I48">
        <v>1.88</v>
      </c>
      <c r="J48">
        <v>3.46</v>
      </c>
      <c r="K48" s="51">
        <v>6.476</v>
      </c>
      <c r="L48" s="60">
        <v>35</v>
      </c>
      <c r="M48" s="60">
        <f t="shared" si="0"/>
        <v>36.271198438138953</v>
      </c>
      <c r="N48" s="60">
        <v>61.666666666666671</v>
      </c>
      <c r="O48" s="60">
        <f t="shared" si="1"/>
        <v>51.746699410775847</v>
      </c>
      <c r="P48">
        <v>0.33700000000000002</v>
      </c>
      <c r="Q48">
        <v>2.52</v>
      </c>
      <c r="R48">
        <v>1.921</v>
      </c>
    </row>
    <row r="49" spans="1:18">
      <c r="A49">
        <v>3</v>
      </c>
      <c r="B49" t="s">
        <v>80</v>
      </c>
      <c r="C49" t="s">
        <v>323</v>
      </c>
      <c r="D49" t="s">
        <v>451</v>
      </c>
      <c r="E49" t="s">
        <v>333</v>
      </c>
      <c r="F49">
        <v>2.88</v>
      </c>
      <c r="G49">
        <v>3.95</v>
      </c>
      <c r="H49">
        <v>146.1</v>
      </c>
      <c r="I49">
        <v>1.6</v>
      </c>
      <c r="J49">
        <v>3.34</v>
      </c>
      <c r="K49" s="51">
        <v>7.6509999999999998</v>
      </c>
      <c r="L49" s="60">
        <v>31.666666666666664</v>
      </c>
      <c r="M49" s="60">
        <f t="shared" si="0"/>
        <v>34.244905866556266</v>
      </c>
      <c r="N49" s="60">
        <v>61.666666666666671</v>
      </c>
      <c r="O49" s="60">
        <f t="shared" si="1"/>
        <v>51.746699410775847</v>
      </c>
      <c r="P49">
        <v>0.35399999999999998</v>
      </c>
      <c r="Q49">
        <v>2.9260000000000002</v>
      </c>
      <c r="R49">
        <v>2.0070000000000001</v>
      </c>
    </row>
    <row r="50" spans="1:18">
      <c r="A50">
        <v>3</v>
      </c>
      <c r="B50" t="s">
        <v>376</v>
      </c>
      <c r="C50" t="s">
        <v>375</v>
      </c>
      <c r="D50" t="s">
        <v>451</v>
      </c>
      <c r="E50" t="s">
        <v>333</v>
      </c>
      <c r="F50">
        <v>1.97</v>
      </c>
      <c r="G50">
        <v>3.64</v>
      </c>
      <c r="H50">
        <v>137.4</v>
      </c>
      <c r="I50">
        <v>1.72</v>
      </c>
      <c r="J50">
        <v>3.34</v>
      </c>
      <c r="K50" s="51">
        <v>6.9880000000000004</v>
      </c>
      <c r="L50" s="60">
        <v>23.333333333333332</v>
      </c>
      <c r="M50" s="60">
        <f t="shared" si="0"/>
        <v>28.884523682248947</v>
      </c>
      <c r="N50" s="60">
        <v>63.333333333333329</v>
      </c>
      <c r="O50" s="60">
        <f t="shared" si="1"/>
        <v>52.733004976710276</v>
      </c>
      <c r="P50">
        <v>0.38400000000000001</v>
      </c>
      <c r="Q50">
        <v>2.1869999999999998</v>
      </c>
      <c r="R50">
        <v>1.7589999999999999</v>
      </c>
    </row>
    <row r="51" spans="1:18">
      <c r="A51">
        <v>3</v>
      </c>
      <c r="B51" t="s">
        <v>376</v>
      </c>
      <c r="C51" t="s">
        <v>375</v>
      </c>
      <c r="D51" t="s">
        <v>451</v>
      </c>
      <c r="E51" t="s">
        <v>333</v>
      </c>
      <c r="F51">
        <v>0.67</v>
      </c>
      <c r="G51">
        <v>2.67</v>
      </c>
      <c r="H51">
        <v>160.19999999999999</v>
      </c>
      <c r="I51">
        <v>1.57</v>
      </c>
      <c r="J51">
        <v>3.44</v>
      </c>
      <c r="K51" s="51">
        <v>5.5069999999999997</v>
      </c>
      <c r="L51" s="60">
        <v>35</v>
      </c>
      <c r="M51" s="60">
        <f t="shared" si="0"/>
        <v>36.271198438138953</v>
      </c>
      <c r="N51" s="60">
        <v>61.666666666666671</v>
      </c>
      <c r="O51" s="60">
        <f t="shared" si="1"/>
        <v>51.746699410775847</v>
      </c>
      <c r="P51">
        <v>0.34100000000000003</v>
      </c>
      <c r="Q51">
        <v>2.0499999999999998</v>
      </c>
      <c r="R51">
        <v>1.891</v>
      </c>
    </row>
    <row r="52" spans="1:18">
      <c r="A52">
        <v>3</v>
      </c>
      <c r="B52" t="s">
        <v>376</v>
      </c>
      <c r="C52" t="s">
        <v>375</v>
      </c>
      <c r="D52" t="s">
        <v>451</v>
      </c>
      <c r="E52" t="s">
        <v>333</v>
      </c>
      <c r="F52">
        <v>1.17</v>
      </c>
      <c r="G52">
        <v>3.6</v>
      </c>
      <c r="H52">
        <v>145.9</v>
      </c>
      <c r="I52">
        <v>2.2999999999999998</v>
      </c>
      <c r="J52">
        <v>3.56</v>
      </c>
      <c r="K52" s="51">
        <v>6.6669999999999998</v>
      </c>
      <c r="L52" s="60">
        <v>31.666666666666664</v>
      </c>
      <c r="M52" s="60">
        <f t="shared" si="0"/>
        <v>34.244905866556266</v>
      </c>
      <c r="N52" s="60">
        <v>70</v>
      </c>
      <c r="O52" s="60">
        <f t="shared" si="1"/>
        <v>56.789089239100917</v>
      </c>
      <c r="P52">
        <v>0.33700000000000002</v>
      </c>
      <c r="Q52">
        <v>2.5539999999999998</v>
      </c>
      <c r="R52">
        <v>1.8660000000000001</v>
      </c>
    </row>
    <row r="53" spans="1:18">
      <c r="A53">
        <v>3</v>
      </c>
      <c r="B53" t="s">
        <v>88</v>
      </c>
      <c r="C53" t="s">
        <v>160</v>
      </c>
      <c r="D53" t="s">
        <v>451</v>
      </c>
      <c r="E53" t="s">
        <v>333</v>
      </c>
      <c r="F53">
        <v>1.1599999999999999</v>
      </c>
      <c r="G53">
        <v>3.24</v>
      </c>
      <c r="H53">
        <v>150.5</v>
      </c>
      <c r="I53">
        <v>0</v>
      </c>
      <c r="J53">
        <v>3.4</v>
      </c>
      <c r="K53" s="51">
        <v>6.4059999999999997</v>
      </c>
      <c r="L53" s="60">
        <v>30</v>
      </c>
      <c r="M53" s="60">
        <f t="shared" si="0"/>
        <v>33.210910760899083</v>
      </c>
      <c r="N53" s="60">
        <v>66.666666666666657</v>
      </c>
      <c r="O53" s="60">
        <f t="shared" si="1"/>
        <v>54.735610317245346</v>
      </c>
      <c r="P53">
        <v>0.312</v>
      </c>
      <c r="Q53">
        <v>2.3319999999999999</v>
      </c>
      <c r="R53">
        <v>1.8129999999999999</v>
      </c>
    </row>
    <row r="54" spans="1:18">
      <c r="A54">
        <v>3</v>
      </c>
      <c r="B54" t="s">
        <v>88</v>
      </c>
      <c r="C54" t="s">
        <v>160</v>
      </c>
      <c r="D54" t="s">
        <v>451</v>
      </c>
      <c r="E54" t="s">
        <v>333</v>
      </c>
      <c r="F54">
        <v>1.49</v>
      </c>
      <c r="G54">
        <v>3.48</v>
      </c>
      <c r="H54">
        <v>143.30000000000001</v>
      </c>
      <c r="I54">
        <v>0</v>
      </c>
      <c r="J54">
        <v>3.6</v>
      </c>
      <c r="K54" s="51">
        <v>6.2889999999999997</v>
      </c>
      <c r="L54" s="60">
        <v>35</v>
      </c>
      <c r="M54" s="60">
        <f t="shared" si="0"/>
        <v>36.271198438138953</v>
      </c>
      <c r="N54" s="60">
        <v>63.333333333333329</v>
      </c>
      <c r="O54" s="60">
        <f t="shared" si="1"/>
        <v>52.733004976710276</v>
      </c>
      <c r="P54">
        <v>0.33900000000000002</v>
      </c>
      <c r="Q54">
        <v>2.4750000000000001</v>
      </c>
      <c r="R54">
        <v>1.911</v>
      </c>
    </row>
    <row r="55" spans="1:18">
      <c r="A55">
        <v>3</v>
      </c>
      <c r="B55" t="s">
        <v>88</v>
      </c>
      <c r="C55" t="s">
        <v>160</v>
      </c>
      <c r="D55" t="s">
        <v>451</v>
      </c>
      <c r="E55" t="s">
        <v>333</v>
      </c>
      <c r="F55">
        <v>1.54</v>
      </c>
      <c r="G55">
        <v>3.63</v>
      </c>
      <c r="H55">
        <v>138.5</v>
      </c>
      <c r="I55">
        <v>0</v>
      </c>
      <c r="J55">
        <v>3.54</v>
      </c>
      <c r="K55" s="51">
        <v>6.7130000000000001</v>
      </c>
      <c r="L55" s="60">
        <v>36.666666666666664</v>
      </c>
      <c r="M55" s="60">
        <f t="shared" si="0"/>
        <v>37.266995023289724</v>
      </c>
      <c r="N55" s="60">
        <v>66.666666666666657</v>
      </c>
      <c r="O55" s="60">
        <f t="shared" si="1"/>
        <v>54.735610317245346</v>
      </c>
      <c r="P55">
        <v>0.314</v>
      </c>
      <c r="Q55">
        <v>2.4849999999999999</v>
      </c>
      <c r="R55">
        <v>1.861</v>
      </c>
    </row>
    <row r="56" spans="1:18">
      <c r="A56">
        <v>3</v>
      </c>
      <c r="B56" t="s">
        <v>364</v>
      </c>
      <c r="C56" t="s">
        <v>320</v>
      </c>
      <c r="D56" t="s">
        <v>452</v>
      </c>
      <c r="E56" t="s">
        <v>334</v>
      </c>
      <c r="F56">
        <v>3.54</v>
      </c>
      <c r="G56">
        <v>3.88</v>
      </c>
      <c r="H56">
        <v>147.6</v>
      </c>
      <c r="I56">
        <v>0</v>
      </c>
      <c r="J56">
        <v>3.42</v>
      </c>
      <c r="K56" s="51">
        <v>7.4219999999999997</v>
      </c>
      <c r="L56" s="60">
        <v>31.666666666666664</v>
      </c>
      <c r="M56" s="60">
        <f t="shared" si="0"/>
        <v>34.244905866556266</v>
      </c>
      <c r="N56" s="60">
        <v>60</v>
      </c>
      <c r="O56" s="60">
        <f t="shared" si="1"/>
        <v>50.768479516407751</v>
      </c>
      <c r="P56">
        <v>0.34499999999999997</v>
      </c>
      <c r="Q56">
        <v>2.4430000000000001</v>
      </c>
      <c r="R56">
        <v>1.881</v>
      </c>
    </row>
    <row r="57" spans="1:18">
      <c r="A57">
        <v>3</v>
      </c>
      <c r="B57" t="s">
        <v>364</v>
      </c>
      <c r="C57" t="s">
        <v>320</v>
      </c>
      <c r="D57" t="s">
        <v>452</v>
      </c>
      <c r="E57" t="s">
        <v>334</v>
      </c>
      <c r="F57">
        <v>3.66</v>
      </c>
      <c r="G57">
        <v>3.95</v>
      </c>
      <c r="H57">
        <v>194.5</v>
      </c>
      <c r="I57">
        <v>0</v>
      </c>
      <c r="J57">
        <v>3.43</v>
      </c>
      <c r="K57" s="51">
        <v>8.2330000000000005</v>
      </c>
      <c r="L57" s="60">
        <v>23.333333333333332</v>
      </c>
      <c r="M57" s="60">
        <f t="shared" si="0"/>
        <v>28.884523682248947</v>
      </c>
      <c r="N57" s="60">
        <v>60</v>
      </c>
      <c r="O57" s="60">
        <f t="shared" si="1"/>
        <v>50.768479516407751</v>
      </c>
      <c r="P57">
        <v>0.40600000000000003</v>
      </c>
      <c r="Q57">
        <v>2.97</v>
      </c>
      <c r="R57">
        <v>2.0150000000000001</v>
      </c>
    </row>
    <row r="58" spans="1:18">
      <c r="A58">
        <v>3</v>
      </c>
      <c r="B58" t="s">
        <v>364</v>
      </c>
      <c r="C58" t="s">
        <v>320</v>
      </c>
      <c r="D58" t="s">
        <v>452</v>
      </c>
      <c r="E58" t="s">
        <v>334</v>
      </c>
      <c r="F58">
        <v>3.48</v>
      </c>
      <c r="G58">
        <v>3.44</v>
      </c>
      <c r="H58">
        <v>158.69999999999999</v>
      </c>
      <c r="I58">
        <v>0</v>
      </c>
      <c r="J58">
        <v>3.33</v>
      </c>
      <c r="K58" s="51">
        <v>7.4630000000000001</v>
      </c>
      <c r="L58" s="60">
        <v>28.333333333333332</v>
      </c>
      <c r="M58" s="60">
        <f t="shared" si="0"/>
        <v>32.160355690271572</v>
      </c>
      <c r="N58" s="60">
        <v>63.333333333333329</v>
      </c>
      <c r="O58" s="60">
        <f t="shared" si="1"/>
        <v>52.733004976710276</v>
      </c>
      <c r="P58">
        <v>0.38700000000000001</v>
      </c>
      <c r="Q58">
        <v>2.6429999999999998</v>
      </c>
      <c r="R58">
        <v>1.96</v>
      </c>
    </row>
    <row r="59" spans="1:18">
      <c r="A59">
        <v>3</v>
      </c>
      <c r="B59" t="s">
        <v>365</v>
      </c>
      <c r="C59" t="s">
        <v>132</v>
      </c>
      <c r="D59" t="s">
        <v>452</v>
      </c>
      <c r="E59" t="s">
        <v>334</v>
      </c>
      <c r="F59">
        <v>1.24</v>
      </c>
      <c r="G59">
        <v>4.0599999999999996</v>
      </c>
      <c r="H59">
        <v>148.4</v>
      </c>
      <c r="I59">
        <v>0</v>
      </c>
      <c r="J59">
        <v>3.7</v>
      </c>
      <c r="K59" s="51">
        <v>0.33300000000000002</v>
      </c>
      <c r="L59" s="60">
        <v>28.333333333333332</v>
      </c>
      <c r="M59" s="60">
        <f t="shared" si="0"/>
        <v>32.160355690271572</v>
      </c>
      <c r="N59" s="60">
        <v>55.000000000000007</v>
      </c>
      <c r="O59" s="60">
        <f t="shared" si="1"/>
        <v>47.869585238633384</v>
      </c>
      <c r="P59">
        <v>0.41599999999999998</v>
      </c>
      <c r="Q59">
        <v>2.5979999999999999</v>
      </c>
      <c r="R59">
        <v>1.9790000000000001</v>
      </c>
    </row>
    <row r="60" spans="1:18">
      <c r="A60">
        <v>3</v>
      </c>
      <c r="B60" t="s">
        <v>365</v>
      </c>
      <c r="C60" t="s">
        <v>132</v>
      </c>
      <c r="D60" t="s">
        <v>452</v>
      </c>
      <c r="E60" t="s">
        <v>334</v>
      </c>
      <c r="F60">
        <v>1.18</v>
      </c>
      <c r="G60">
        <v>3.47</v>
      </c>
      <c r="H60">
        <v>148.9</v>
      </c>
      <c r="I60">
        <v>0</v>
      </c>
      <c r="J60">
        <v>3.58</v>
      </c>
      <c r="K60" s="51">
        <v>6.5640000000000001</v>
      </c>
      <c r="L60" s="60">
        <v>35</v>
      </c>
      <c r="M60" s="60">
        <f t="shared" si="0"/>
        <v>36.271198438138953</v>
      </c>
      <c r="N60" s="60">
        <v>70</v>
      </c>
      <c r="O60" s="60">
        <f t="shared" si="1"/>
        <v>56.789089239100917</v>
      </c>
      <c r="P60">
        <v>0.40300000000000002</v>
      </c>
      <c r="Q60">
        <v>2.3479999999999999</v>
      </c>
      <c r="R60">
        <v>1.9530000000000001</v>
      </c>
    </row>
    <row r="61" spans="1:18">
      <c r="A61">
        <v>3</v>
      </c>
      <c r="B61" t="s">
        <v>365</v>
      </c>
      <c r="C61" t="s">
        <v>132</v>
      </c>
      <c r="D61" t="s">
        <v>452</v>
      </c>
      <c r="E61" t="s">
        <v>334</v>
      </c>
      <c r="F61">
        <v>3.66</v>
      </c>
      <c r="G61">
        <v>5.29</v>
      </c>
      <c r="H61">
        <v>155.30000000000001</v>
      </c>
      <c r="I61">
        <v>0</v>
      </c>
      <c r="J61">
        <v>3.26</v>
      </c>
      <c r="K61" s="51">
        <v>10.013999999999999</v>
      </c>
      <c r="L61" s="60">
        <v>36.666666666666664</v>
      </c>
      <c r="M61" s="60">
        <f t="shared" si="0"/>
        <v>37.266995023289724</v>
      </c>
      <c r="N61" s="60">
        <v>70</v>
      </c>
      <c r="O61" s="60">
        <f t="shared" si="1"/>
        <v>56.789089239100917</v>
      </c>
      <c r="P61">
        <v>0.439</v>
      </c>
      <c r="Q61">
        <v>3.1720000000000002</v>
      </c>
      <c r="R61">
        <v>2.0470000000000002</v>
      </c>
    </row>
    <row r="62" spans="1:18">
      <c r="A62">
        <v>3</v>
      </c>
      <c r="B62" t="s">
        <v>366</v>
      </c>
      <c r="C62" t="s">
        <v>136</v>
      </c>
      <c r="D62" t="s">
        <v>452</v>
      </c>
      <c r="E62" t="s">
        <v>334</v>
      </c>
      <c r="F62">
        <v>3.44</v>
      </c>
      <c r="G62">
        <v>4.88</v>
      </c>
      <c r="H62">
        <v>144.4</v>
      </c>
      <c r="I62">
        <v>0</v>
      </c>
      <c r="J62">
        <v>3.47</v>
      </c>
      <c r="K62" s="51">
        <v>9.0060000000000002</v>
      </c>
      <c r="L62" s="60">
        <v>36.666666666666664</v>
      </c>
      <c r="M62" s="60">
        <f t="shared" si="0"/>
        <v>37.266995023289724</v>
      </c>
      <c r="N62" s="60">
        <v>66.666666666666657</v>
      </c>
      <c r="O62" s="60">
        <f t="shared" si="1"/>
        <v>54.735610317245346</v>
      </c>
      <c r="P62">
        <v>0.43099999999999999</v>
      </c>
      <c r="Q62">
        <v>3.2610000000000001</v>
      </c>
      <c r="R62">
        <v>2.0979999999999999</v>
      </c>
    </row>
    <row r="63" spans="1:18">
      <c r="A63">
        <v>3</v>
      </c>
      <c r="B63" t="s">
        <v>366</v>
      </c>
      <c r="C63" t="s">
        <v>136</v>
      </c>
      <c r="D63" t="s">
        <v>452</v>
      </c>
      <c r="E63" t="s">
        <v>334</v>
      </c>
      <c r="F63">
        <v>5.22</v>
      </c>
      <c r="G63">
        <v>5.99</v>
      </c>
      <c r="H63">
        <v>138.30000000000001</v>
      </c>
      <c r="I63">
        <v>0</v>
      </c>
      <c r="J63">
        <v>3.31</v>
      </c>
      <c r="K63" s="51">
        <v>11.236000000000001</v>
      </c>
      <c r="L63" s="60">
        <v>46.666666666666664</v>
      </c>
      <c r="M63" s="60">
        <f t="shared" si="0"/>
        <v>43.08872313536282</v>
      </c>
      <c r="N63" s="60">
        <v>66.666666666666657</v>
      </c>
      <c r="O63" s="60">
        <f t="shared" si="1"/>
        <v>54.735610317245346</v>
      </c>
      <c r="P63">
        <v>0.44700000000000001</v>
      </c>
      <c r="Q63">
        <v>3.5910000000000002</v>
      </c>
      <c r="R63">
        <v>2.081</v>
      </c>
    </row>
    <row r="64" spans="1:18">
      <c r="A64">
        <v>3</v>
      </c>
      <c r="B64" t="s">
        <v>366</v>
      </c>
      <c r="C64" t="s">
        <v>136</v>
      </c>
      <c r="D64" t="s">
        <v>452</v>
      </c>
      <c r="E64" t="s">
        <v>334</v>
      </c>
      <c r="F64">
        <v>1.19</v>
      </c>
      <c r="G64">
        <v>3.46</v>
      </c>
      <c r="H64">
        <v>147.9</v>
      </c>
      <c r="I64">
        <v>0.08</v>
      </c>
      <c r="J64">
        <v>3.59</v>
      </c>
      <c r="K64" s="51">
        <v>6.79</v>
      </c>
      <c r="L64" s="60">
        <v>35</v>
      </c>
      <c r="M64" s="60">
        <f t="shared" si="0"/>
        <v>36.271198438138953</v>
      </c>
      <c r="N64" s="60">
        <v>66.666666666666657</v>
      </c>
      <c r="O64" s="60">
        <f t="shared" si="1"/>
        <v>54.735610317245346</v>
      </c>
      <c r="P64">
        <v>0.371</v>
      </c>
      <c r="Q64">
        <v>2.8050000000000002</v>
      </c>
      <c r="R64">
        <v>1.982</v>
      </c>
    </row>
    <row r="65" spans="1:18">
      <c r="A65">
        <v>3</v>
      </c>
      <c r="B65" t="s">
        <v>367</v>
      </c>
      <c r="C65" t="s">
        <v>321</v>
      </c>
      <c r="D65" t="s">
        <v>452</v>
      </c>
      <c r="E65" t="s">
        <v>334</v>
      </c>
      <c r="F65">
        <v>1.52</v>
      </c>
      <c r="G65">
        <v>3.62</v>
      </c>
      <c r="H65">
        <v>143.30000000000001</v>
      </c>
      <c r="I65">
        <v>0.01</v>
      </c>
      <c r="J65">
        <v>3.57</v>
      </c>
      <c r="K65" s="51">
        <v>6.5709999999999997</v>
      </c>
      <c r="L65" s="60">
        <v>23.333333333333332</v>
      </c>
      <c r="M65" s="60">
        <f t="shared" si="0"/>
        <v>28.884523682248947</v>
      </c>
      <c r="N65" s="60">
        <v>70</v>
      </c>
      <c r="O65" s="60">
        <f t="shared" si="1"/>
        <v>56.789089239100917</v>
      </c>
      <c r="P65">
        <v>0.36</v>
      </c>
      <c r="Q65">
        <v>2.8050000000000002</v>
      </c>
      <c r="R65">
        <v>1.9019999999999999</v>
      </c>
    </row>
    <row r="66" spans="1:18">
      <c r="A66">
        <v>3</v>
      </c>
      <c r="B66" t="s">
        <v>367</v>
      </c>
      <c r="C66" t="s">
        <v>321</v>
      </c>
      <c r="D66" t="s">
        <v>452</v>
      </c>
      <c r="E66" t="s">
        <v>334</v>
      </c>
      <c r="F66">
        <v>1.7</v>
      </c>
      <c r="G66">
        <v>3.79</v>
      </c>
      <c r="H66">
        <v>146.5</v>
      </c>
      <c r="I66">
        <v>1.2</v>
      </c>
      <c r="J66">
        <v>3.6</v>
      </c>
      <c r="K66" s="51">
        <v>7.0010000000000003</v>
      </c>
      <c r="L66" s="60">
        <v>33.333333333333329</v>
      </c>
      <c r="M66" s="60">
        <f t="shared" si="0"/>
        <v>35.264389682754654</v>
      </c>
      <c r="N66" s="60">
        <v>71.666666666666671</v>
      </c>
      <c r="O66" s="60">
        <f t="shared" si="1"/>
        <v>57.839644309728435</v>
      </c>
      <c r="P66">
        <v>0.40600000000000003</v>
      </c>
      <c r="Q66">
        <v>2.8580000000000001</v>
      </c>
      <c r="R66">
        <v>2.036</v>
      </c>
    </row>
    <row r="67" spans="1:18">
      <c r="A67">
        <v>3</v>
      </c>
      <c r="B67" t="s">
        <v>367</v>
      </c>
      <c r="C67" t="s">
        <v>321</v>
      </c>
      <c r="D67" t="s">
        <v>452</v>
      </c>
      <c r="E67" t="s">
        <v>334</v>
      </c>
      <c r="F67">
        <v>1.26</v>
      </c>
      <c r="G67">
        <v>3.75</v>
      </c>
      <c r="H67">
        <v>149.19999999999999</v>
      </c>
      <c r="I67">
        <v>0.45</v>
      </c>
      <c r="J67">
        <v>3.64</v>
      </c>
      <c r="K67" s="51">
        <v>7.0540000000000003</v>
      </c>
      <c r="L67" s="60">
        <v>28.333333333333332</v>
      </c>
      <c r="M67" s="60">
        <f t="shared" ref="M67:M130" si="2">ASIN(SQRT(L67/100))*180/PI()</f>
        <v>32.160355690271572</v>
      </c>
      <c r="N67" s="60">
        <v>60</v>
      </c>
      <c r="O67" s="60">
        <f t="shared" ref="O67:O130" si="3">ASIN(SQRT(N67/100))*180/PI()</f>
        <v>50.768479516407751</v>
      </c>
      <c r="P67">
        <v>0.44500000000000001</v>
      </c>
      <c r="Q67">
        <v>2.7890000000000001</v>
      </c>
      <c r="R67">
        <v>1.98</v>
      </c>
    </row>
    <row r="68" spans="1:18">
      <c r="A68">
        <v>3</v>
      </c>
      <c r="B68" t="s">
        <v>368</v>
      </c>
      <c r="C68" t="s">
        <v>322</v>
      </c>
      <c r="D68" t="s">
        <v>452</v>
      </c>
      <c r="E68" t="s">
        <v>334</v>
      </c>
      <c r="F68">
        <v>3.85</v>
      </c>
      <c r="G68">
        <v>4.92</v>
      </c>
      <c r="H68">
        <v>141</v>
      </c>
      <c r="I68">
        <v>0.45</v>
      </c>
      <c r="J68">
        <v>3.16</v>
      </c>
      <c r="K68" s="51">
        <v>9.9290000000000003</v>
      </c>
      <c r="L68" s="60">
        <v>26.666666666666668</v>
      </c>
      <c r="M68" s="60">
        <f t="shared" si="2"/>
        <v>31.090930357673031</v>
      </c>
      <c r="N68" s="60">
        <v>61.666666666666671</v>
      </c>
      <c r="O68" s="60">
        <f t="shared" si="3"/>
        <v>51.746699410775847</v>
      </c>
      <c r="P68">
        <v>0.35299999999999998</v>
      </c>
      <c r="Q68">
        <v>3.37</v>
      </c>
      <c r="R68">
        <v>1.784</v>
      </c>
    </row>
    <row r="69" spans="1:18">
      <c r="A69">
        <v>3</v>
      </c>
      <c r="B69" t="s">
        <v>368</v>
      </c>
      <c r="C69" t="s">
        <v>322</v>
      </c>
      <c r="D69" t="s">
        <v>452</v>
      </c>
      <c r="E69" t="s">
        <v>334</v>
      </c>
      <c r="F69">
        <v>1.78</v>
      </c>
      <c r="G69">
        <v>3.32</v>
      </c>
      <c r="H69">
        <v>145.6</v>
      </c>
      <c r="I69">
        <v>1.1299999999999999</v>
      </c>
      <c r="J69">
        <v>3.29</v>
      </c>
      <c r="K69" s="51">
        <v>7.3780000000000001</v>
      </c>
      <c r="L69" s="60">
        <v>35</v>
      </c>
      <c r="M69" s="60">
        <f t="shared" si="2"/>
        <v>36.271198438138953</v>
      </c>
      <c r="N69" s="60">
        <v>73.333333333333329</v>
      </c>
      <c r="O69" s="60">
        <f t="shared" si="3"/>
        <v>58.909069642326962</v>
      </c>
      <c r="P69">
        <v>0.38800000000000001</v>
      </c>
      <c r="Q69">
        <v>2.714</v>
      </c>
      <c r="R69">
        <v>1.772</v>
      </c>
    </row>
    <row r="70" spans="1:18">
      <c r="A70">
        <v>3</v>
      </c>
      <c r="B70" t="s">
        <v>368</v>
      </c>
      <c r="C70" t="s">
        <v>322</v>
      </c>
      <c r="D70" t="s">
        <v>452</v>
      </c>
      <c r="E70" t="s">
        <v>334</v>
      </c>
      <c r="F70">
        <v>0.79</v>
      </c>
      <c r="G70">
        <v>2.56</v>
      </c>
      <c r="H70">
        <v>125.2</v>
      </c>
      <c r="I70">
        <v>0.73</v>
      </c>
      <c r="J70">
        <v>3.48</v>
      </c>
      <c r="K70" s="51">
        <v>6.4870000000000001</v>
      </c>
      <c r="L70" s="60">
        <v>26.666666666666668</v>
      </c>
      <c r="M70" s="60">
        <f t="shared" si="2"/>
        <v>31.090930357673031</v>
      </c>
      <c r="N70" s="60">
        <v>65</v>
      </c>
      <c r="O70" s="60">
        <f t="shared" si="3"/>
        <v>53.728801561861061</v>
      </c>
      <c r="P70">
        <v>0.40400000000000003</v>
      </c>
      <c r="Q70">
        <v>2.6309999999999998</v>
      </c>
      <c r="R70">
        <v>1.9450000000000001</v>
      </c>
    </row>
    <row r="71" spans="1:18">
      <c r="A71">
        <v>3</v>
      </c>
      <c r="B71" t="s">
        <v>369</v>
      </c>
      <c r="C71" t="s">
        <v>148</v>
      </c>
      <c r="D71" t="s">
        <v>452</v>
      </c>
      <c r="E71" t="s">
        <v>334</v>
      </c>
      <c r="F71">
        <v>0.37</v>
      </c>
      <c r="G71">
        <v>1.36</v>
      </c>
      <c r="H71">
        <v>152.19999999999999</v>
      </c>
      <c r="I71">
        <v>2.09</v>
      </c>
      <c r="J71">
        <v>3.54</v>
      </c>
      <c r="K71" s="51">
        <v>3.8860000000000001</v>
      </c>
      <c r="L71" s="60">
        <v>40</v>
      </c>
      <c r="M71" s="60">
        <f t="shared" si="2"/>
        <v>39.231520483592263</v>
      </c>
      <c r="N71" s="60">
        <v>56.666666666666664</v>
      </c>
      <c r="O71" s="60">
        <f t="shared" si="3"/>
        <v>48.831127830383032</v>
      </c>
      <c r="P71">
        <v>0.29799999999999999</v>
      </c>
      <c r="Q71">
        <v>1.6339999999999999</v>
      </c>
      <c r="R71">
        <v>1.7450000000000001</v>
      </c>
    </row>
    <row r="72" spans="1:18">
      <c r="A72">
        <v>3</v>
      </c>
      <c r="B72" t="s">
        <v>369</v>
      </c>
      <c r="C72" t="s">
        <v>148</v>
      </c>
      <c r="D72" t="s">
        <v>452</v>
      </c>
      <c r="E72" t="s">
        <v>334</v>
      </c>
      <c r="F72">
        <v>0.31</v>
      </c>
      <c r="G72">
        <v>1.1200000000000001</v>
      </c>
      <c r="H72">
        <v>130.80000000000001</v>
      </c>
      <c r="I72">
        <v>2.78</v>
      </c>
      <c r="J72">
        <v>3.51</v>
      </c>
      <c r="K72" s="51">
        <v>3.7360000000000002</v>
      </c>
      <c r="L72" s="60">
        <v>38.333333333333336</v>
      </c>
      <c r="M72" s="60">
        <f t="shared" si="2"/>
        <v>38.253300589224153</v>
      </c>
      <c r="N72" s="60">
        <v>63.333333333333329</v>
      </c>
      <c r="O72" s="60">
        <f t="shared" si="3"/>
        <v>52.733004976710276</v>
      </c>
      <c r="P72">
        <v>0.28699999999999998</v>
      </c>
      <c r="Q72">
        <v>1.571</v>
      </c>
      <c r="R72">
        <v>1.6990000000000001</v>
      </c>
    </row>
    <row r="73" spans="1:18">
      <c r="A73">
        <v>3</v>
      </c>
      <c r="B73" t="s">
        <v>369</v>
      </c>
      <c r="C73" t="s">
        <v>148</v>
      </c>
      <c r="D73" t="s">
        <v>452</v>
      </c>
      <c r="E73" t="s">
        <v>334</v>
      </c>
      <c r="F73">
        <v>0.15</v>
      </c>
      <c r="G73">
        <v>0.79</v>
      </c>
      <c r="H73">
        <v>163.1</v>
      </c>
      <c r="I73">
        <v>1.48</v>
      </c>
      <c r="J73">
        <v>3.46</v>
      </c>
      <c r="K73" s="51">
        <v>3.1960000000000002</v>
      </c>
      <c r="L73" s="60">
        <v>50</v>
      </c>
      <c r="M73" s="60">
        <f t="shared" si="2"/>
        <v>45.000000000000007</v>
      </c>
      <c r="N73" s="60">
        <v>76.666666666666671</v>
      </c>
      <c r="O73" s="60">
        <f t="shared" si="3"/>
        <v>61.115476317751053</v>
      </c>
      <c r="P73">
        <v>0.308</v>
      </c>
      <c r="Q73">
        <v>1.593</v>
      </c>
      <c r="R73">
        <v>1.8740000000000001</v>
      </c>
    </row>
    <row r="74" spans="1:18">
      <c r="A74">
        <v>3</v>
      </c>
      <c r="B74" t="s">
        <v>370</v>
      </c>
      <c r="C74" t="s">
        <v>323</v>
      </c>
      <c r="D74" t="s">
        <v>452</v>
      </c>
      <c r="E74" t="s">
        <v>334</v>
      </c>
      <c r="F74">
        <v>0.51</v>
      </c>
      <c r="G74">
        <v>1.78</v>
      </c>
      <c r="H74">
        <v>130.30000000000001</v>
      </c>
      <c r="I74">
        <v>2.36</v>
      </c>
      <c r="J74">
        <v>3.6</v>
      </c>
      <c r="K74" s="51">
        <v>4.54</v>
      </c>
      <c r="L74" s="60">
        <v>28.333333333333332</v>
      </c>
      <c r="M74" s="60">
        <f t="shared" si="2"/>
        <v>32.160355690271572</v>
      </c>
      <c r="N74" s="60">
        <v>68.333333333333329</v>
      </c>
      <c r="O74" s="60">
        <f t="shared" si="3"/>
        <v>55.755094133443734</v>
      </c>
      <c r="P74">
        <v>0.317</v>
      </c>
      <c r="Q74">
        <v>2.0110000000000001</v>
      </c>
      <c r="R74">
        <v>1.7470000000000001</v>
      </c>
    </row>
    <row r="75" spans="1:18">
      <c r="A75">
        <v>3</v>
      </c>
      <c r="B75" t="s">
        <v>370</v>
      </c>
      <c r="C75" t="s">
        <v>323</v>
      </c>
      <c r="D75" t="s">
        <v>452</v>
      </c>
      <c r="E75" t="s">
        <v>334</v>
      </c>
      <c r="F75">
        <v>0.35</v>
      </c>
      <c r="G75">
        <v>2.1800000000000002</v>
      </c>
      <c r="H75">
        <v>142.4</v>
      </c>
      <c r="I75">
        <v>1.53</v>
      </c>
      <c r="J75">
        <v>3.58</v>
      </c>
      <c r="K75" s="51">
        <v>5.1920000000000002</v>
      </c>
      <c r="L75" s="60">
        <v>28.333333333333332</v>
      </c>
      <c r="M75" s="60">
        <f t="shared" si="2"/>
        <v>32.160355690271572</v>
      </c>
      <c r="N75" s="60">
        <v>60</v>
      </c>
      <c r="O75" s="60">
        <f t="shared" si="3"/>
        <v>50.768479516407751</v>
      </c>
      <c r="P75">
        <v>0.32400000000000001</v>
      </c>
      <c r="Q75">
        <v>2.4209999999999998</v>
      </c>
      <c r="R75">
        <v>1.845</v>
      </c>
    </row>
    <row r="76" spans="1:18">
      <c r="A76">
        <v>3</v>
      </c>
      <c r="B76" t="s">
        <v>370</v>
      </c>
      <c r="C76" t="s">
        <v>323</v>
      </c>
      <c r="D76" t="s">
        <v>452</v>
      </c>
      <c r="E76" t="s">
        <v>334</v>
      </c>
      <c r="F76">
        <v>0.35</v>
      </c>
      <c r="G76">
        <v>1.67</v>
      </c>
      <c r="H76">
        <v>126.2</v>
      </c>
      <c r="I76">
        <v>2.29</v>
      </c>
      <c r="J76">
        <v>3.38</v>
      </c>
      <c r="K76" s="51">
        <v>4.3140000000000001</v>
      </c>
      <c r="L76" s="60">
        <v>31.666666666666664</v>
      </c>
      <c r="M76" s="60">
        <f t="shared" si="2"/>
        <v>34.244905866556266</v>
      </c>
      <c r="N76" s="60">
        <v>66.666666666666657</v>
      </c>
      <c r="O76" s="60">
        <f t="shared" si="3"/>
        <v>54.735610317245346</v>
      </c>
      <c r="P76">
        <v>0.34699999999999998</v>
      </c>
      <c r="Q76">
        <v>1.9650000000000001</v>
      </c>
      <c r="R76">
        <v>1.8069999999999999</v>
      </c>
    </row>
    <row r="77" spans="1:18">
      <c r="A77">
        <v>3</v>
      </c>
      <c r="B77" t="s">
        <v>377</v>
      </c>
      <c r="C77" t="s">
        <v>375</v>
      </c>
      <c r="D77" t="s">
        <v>452</v>
      </c>
      <c r="E77" t="s">
        <v>334</v>
      </c>
      <c r="F77">
        <v>0.26</v>
      </c>
      <c r="G77">
        <v>2.52</v>
      </c>
      <c r="H77">
        <v>132.9</v>
      </c>
      <c r="I77">
        <v>2.4300000000000002</v>
      </c>
      <c r="J77">
        <v>3.63</v>
      </c>
      <c r="K77" s="51">
        <v>5.1029999999999998</v>
      </c>
      <c r="L77" s="60">
        <v>36.666666666666664</v>
      </c>
      <c r="M77" s="60">
        <f t="shared" si="2"/>
        <v>37.266995023289724</v>
      </c>
      <c r="N77" s="60">
        <v>63.333333333333329</v>
      </c>
      <c r="O77" s="60">
        <f t="shared" si="3"/>
        <v>52.733004976710276</v>
      </c>
      <c r="P77">
        <v>0.33400000000000002</v>
      </c>
      <c r="Q77">
        <v>2.2970000000000002</v>
      </c>
      <c r="R77">
        <v>1.7849999999999999</v>
      </c>
    </row>
    <row r="78" spans="1:18">
      <c r="A78">
        <v>3</v>
      </c>
      <c r="B78" t="s">
        <v>377</v>
      </c>
      <c r="C78" t="s">
        <v>375</v>
      </c>
      <c r="D78" t="s">
        <v>452</v>
      </c>
      <c r="E78" t="s">
        <v>334</v>
      </c>
      <c r="F78">
        <v>0.37</v>
      </c>
      <c r="G78">
        <v>1.74</v>
      </c>
      <c r="H78">
        <v>151.80000000000001</v>
      </c>
      <c r="I78">
        <v>2.1800000000000002</v>
      </c>
      <c r="J78">
        <v>3.49</v>
      </c>
      <c r="K78" s="51">
        <v>4.3780000000000001</v>
      </c>
      <c r="L78" s="60">
        <v>35</v>
      </c>
      <c r="M78" s="60">
        <f t="shared" si="2"/>
        <v>36.271198438138953</v>
      </c>
      <c r="N78" s="60">
        <v>60</v>
      </c>
      <c r="O78" s="60">
        <f t="shared" si="3"/>
        <v>50.768479516407751</v>
      </c>
      <c r="P78">
        <v>0.372</v>
      </c>
      <c r="Q78">
        <v>1.9219999999999999</v>
      </c>
      <c r="R78">
        <v>1.9610000000000001</v>
      </c>
    </row>
    <row r="79" spans="1:18">
      <c r="A79">
        <v>3</v>
      </c>
      <c r="B79" t="s">
        <v>377</v>
      </c>
      <c r="C79" t="s">
        <v>375</v>
      </c>
      <c r="D79" t="s">
        <v>452</v>
      </c>
      <c r="E79" t="s">
        <v>334</v>
      </c>
      <c r="F79">
        <v>0.47</v>
      </c>
      <c r="G79">
        <v>2.02</v>
      </c>
      <c r="H79">
        <v>131.80000000000001</v>
      </c>
      <c r="I79">
        <v>2.44</v>
      </c>
      <c r="J79">
        <v>3.53</v>
      </c>
      <c r="K79" s="51">
        <v>4.6859999999999999</v>
      </c>
      <c r="L79" s="60">
        <v>33.333333333333329</v>
      </c>
      <c r="M79" s="60">
        <f t="shared" si="2"/>
        <v>35.264389682754654</v>
      </c>
      <c r="N79" s="60">
        <v>63.333333333333329</v>
      </c>
      <c r="O79" s="60">
        <f t="shared" si="3"/>
        <v>52.733004976710276</v>
      </c>
      <c r="P79">
        <v>0.32400000000000001</v>
      </c>
      <c r="Q79">
        <v>1.9870000000000001</v>
      </c>
      <c r="R79">
        <v>1.8839999999999999</v>
      </c>
    </row>
    <row r="80" spans="1:18">
      <c r="A80">
        <v>3</v>
      </c>
      <c r="B80" t="s">
        <v>371</v>
      </c>
      <c r="C80" t="s">
        <v>160</v>
      </c>
      <c r="D80" t="s">
        <v>452</v>
      </c>
      <c r="E80" t="s">
        <v>334</v>
      </c>
      <c r="F80">
        <v>0.25</v>
      </c>
      <c r="G80">
        <v>1.46</v>
      </c>
      <c r="H80">
        <v>145.80000000000001</v>
      </c>
      <c r="I80">
        <v>2.2999999999999998</v>
      </c>
      <c r="J80">
        <v>3.49</v>
      </c>
      <c r="K80" s="51">
        <v>3.86</v>
      </c>
      <c r="L80" s="60">
        <v>35</v>
      </c>
      <c r="M80" s="60">
        <f t="shared" si="2"/>
        <v>36.271198438138953</v>
      </c>
      <c r="N80" s="60">
        <v>60</v>
      </c>
      <c r="O80" s="60">
        <f t="shared" si="3"/>
        <v>50.768479516407751</v>
      </c>
      <c r="P80">
        <v>0.313</v>
      </c>
      <c r="Q80">
        <v>1.681</v>
      </c>
      <c r="R80">
        <v>1.8480000000000001</v>
      </c>
    </row>
    <row r="81" spans="1:18">
      <c r="A81">
        <v>3</v>
      </c>
      <c r="B81" t="s">
        <v>371</v>
      </c>
      <c r="C81" t="s">
        <v>160</v>
      </c>
      <c r="D81" t="s">
        <v>452</v>
      </c>
      <c r="E81" t="s">
        <v>334</v>
      </c>
      <c r="F81">
        <v>0.28999999999999998</v>
      </c>
      <c r="G81">
        <v>1.77</v>
      </c>
      <c r="H81">
        <v>137.80000000000001</v>
      </c>
      <c r="I81">
        <v>2.94</v>
      </c>
      <c r="J81">
        <v>3.62</v>
      </c>
      <c r="K81" s="51">
        <v>4.3</v>
      </c>
      <c r="L81" s="60">
        <v>25</v>
      </c>
      <c r="M81" s="60">
        <f t="shared" si="2"/>
        <v>30.000000000000004</v>
      </c>
      <c r="N81" s="60">
        <v>66.666666666666657</v>
      </c>
      <c r="O81" s="60">
        <f t="shared" si="3"/>
        <v>54.735610317245346</v>
      </c>
      <c r="P81">
        <v>0.37</v>
      </c>
      <c r="Q81">
        <v>1.8080000000000001</v>
      </c>
      <c r="R81">
        <v>1.972</v>
      </c>
    </row>
    <row r="82" spans="1:18">
      <c r="A82">
        <v>3</v>
      </c>
      <c r="B82" t="s">
        <v>371</v>
      </c>
      <c r="C82" t="s">
        <v>160</v>
      </c>
      <c r="D82" t="s">
        <v>452</v>
      </c>
      <c r="E82" t="s">
        <v>334</v>
      </c>
      <c r="F82">
        <v>0.26</v>
      </c>
      <c r="G82">
        <v>1.71</v>
      </c>
      <c r="H82">
        <v>143.80000000000001</v>
      </c>
      <c r="I82">
        <v>2.52</v>
      </c>
      <c r="J82">
        <v>3.55</v>
      </c>
      <c r="K82" s="51">
        <v>4.0730000000000004</v>
      </c>
      <c r="L82" s="60">
        <v>28.333333333333332</v>
      </c>
      <c r="M82" s="60">
        <f t="shared" si="2"/>
        <v>32.160355690271572</v>
      </c>
      <c r="N82" s="60">
        <v>50</v>
      </c>
      <c r="O82" s="60">
        <f t="shared" si="3"/>
        <v>45.000000000000007</v>
      </c>
      <c r="P82">
        <v>0.33200000000000002</v>
      </c>
      <c r="Q82">
        <v>1.8460000000000001</v>
      </c>
      <c r="R82">
        <v>1.95</v>
      </c>
    </row>
    <row r="83" spans="1:18">
      <c r="A83">
        <v>3</v>
      </c>
      <c r="B83" t="s">
        <v>128</v>
      </c>
      <c r="C83" t="s">
        <v>320</v>
      </c>
      <c r="D83" t="s">
        <v>449</v>
      </c>
      <c r="E83" t="s">
        <v>331</v>
      </c>
      <c r="F83">
        <v>0</v>
      </c>
      <c r="G83">
        <v>0.44</v>
      </c>
      <c r="H83">
        <v>197.4</v>
      </c>
      <c r="I83">
        <v>1.02</v>
      </c>
      <c r="J83">
        <v>3.46</v>
      </c>
      <c r="K83" s="51">
        <v>2.5129999999999999</v>
      </c>
      <c r="L83" s="60">
        <v>25</v>
      </c>
      <c r="M83" s="60">
        <f t="shared" si="2"/>
        <v>30.000000000000004</v>
      </c>
      <c r="N83" s="60">
        <v>28.333333333333332</v>
      </c>
      <c r="O83" s="60">
        <f t="shared" si="3"/>
        <v>32.160355690271572</v>
      </c>
      <c r="P83">
        <v>0.25700000000000001</v>
      </c>
      <c r="Q83">
        <v>1.5149999999999999</v>
      </c>
      <c r="R83">
        <v>2.165</v>
      </c>
    </row>
    <row r="84" spans="1:18">
      <c r="A84">
        <v>3</v>
      </c>
      <c r="B84" t="s">
        <v>128</v>
      </c>
      <c r="C84" t="s">
        <v>320</v>
      </c>
      <c r="D84" t="s">
        <v>449</v>
      </c>
      <c r="E84" t="s">
        <v>331</v>
      </c>
      <c r="F84">
        <v>0</v>
      </c>
      <c r="G84">
        <v>0.3</v>
      </c>
      <c r="H84">
        <v>188.5</v>
      </c>
      <c r="I84">
        <v>0.7</v>
      </c>
      <c r="J84">
        <v>3.41</v>
      </c>
      <c r="K84" s="51">
        <v>2.4049999999999998</v>
      </c>
      <c r="L84" s="60">
        <v>25</v>
      </c>
      <c r="M84" s="60">
        <f t="shared" si="2"/>
        <v>30.000000000000004</v>
      </c>
      <c r="N84" s="60">
        <v>26.666666666666668</v>
      </c>
      <c r="O84" s="60">
        <f t="shared" si="3"/>
        <v>31.090930357673031</v>
      </c>
      <c r="P84">
        <v>0.21299999999999999</v>
      </c>
      <c r="Q84">
        <v>1.734</v>
      </c>
      <c r="R84">
        <v>2.0680000000000001</v>
      </c>
    </row>
    <row r="85" spans="1:18">
      <c r="A85">
        <v>3</v>
      </c>
      <c r="B85" t="s">
        <v>128</v>
      </c>
      <c r="C85" t="s">
        <v>320</v>
      </c>
      <c r="D85" t="s">
        <v>449</v>
      </c>
      <c r="E85" t="s">
        <v>331</v>
      </c>
      <c r="F85">
        <v>0.02</v>
      </c>
      <c r="G85">
        <v>0.33</v>
      </c>
      <c r="H85">
        <v>183.8</v>
      </c>
      <c r="I85">
        <v>0.14000000000000001</v>
      </c>
      <c r="J85">
        <v>3.77</v>
      </c>
      <c r="K85" s="51">
        <v>2.1110000000000002</v>
      </c>
      <c r="L85" s="60">
        <v>25</v>
      </c>
      <c r="M85" s="60">
        <f t="shared" si="2"/>
        <v>30.000000000000004</v>
      </c>
      <c r="N85" s="60">
        <v>31.666666666666664</v>
      </c>
      <c r="O85" s="60">
        <f t="shared" si="3"/>
        <v>34.244905866556266</v>
      </c>
      <c r="P85">
        <v>0.24</v>
      </c>
      <c r="Q85">
        <v>1.5580000000000001</v>
      </c>
      <c r="R85">
        <v>2.1339999999999999</v>
      </c>
    </row>
    <row r="86" spans="1:18">
      <c r="A86">
        <v>3</v>
      </c>
      <c r="B86" t="s">
        <v>132</v>
      </c>
      <c r="C86" t="s">
        <v>132</v>
      </c>
      <c r="D86" t="s">
        <v>449</v>
      </c>
      <c r="E86" t="s">
        <v>331</v>
      </c>
      <c r="F86">
        <v>0.01</v>
      </c>
      <c r="G86">
        <v>0.28999999999999998</v>
      </c>
      <c r="H86">
        <v>164.2</v>
      </c>
      <c r="I86">
        <v>0.25</v>
      </c>
      <c r="J86">
        <v>3.81</v>
      </c>
      <c r="K86" s="51">
        <v>1.887</v>
      </c>
      <c r="L86" s="60">
        <v>21.666666666666668</v>
      </c>
      <c r="M86" s="60">
        <f t="shared" si="2"/>
        <v>27.740946079469367</v>
      </c>
      <c r="N86" s="60">
        <v>30</v>
      </c>
      <c r="O86" s="60">
        <f t="shared" si="3"/>
        <v>33.210910760899083</v>
      </c>
      <c r="P86">
        <v>0.26300000000000001</v>
      </c>
      <c r="Q86">
        <v>1.5740000000000001</v>
      </c>
      <c r="R86">
        <v>2.12</v>
      </c>
    </row>
    <row r="87" spans="1:18">
      <c r="A87">
        <v>3</v>
      </c>
      <c r="B87" t="s">
        <v>132</v>
      </c>
      <c r="C87" t="s">
        <v>132</v>
      </c>
      <c r="D87" t="s">
        <v>449</v>
      </c>
      <c r="E87" t="s">
        <v>331</v>
      </c>
      <c r="F87">
        <v>0</v>
      </c>
      <c r="G87">
        <v>0.32</v>
      </c>
      <c r="H87">
        <v>182.6</v>
      </c>
      <c r="I87">
        <v>0.2</v>
      </c>
      <c r="J87">
        <v>3.62</v>
      </c>
      <c r="K87" s="51">
        <v>2.0150000000000001</v>
      </c>
      <c r="L87" s="60">
        <v>21.666666666666668</v>
      </c>
      <c r="M87" s="60">
        <f t="shared" si="2"/>
        <v>27.740946079469367</v>
      </c>
      <c r="N87" s="60">
        <v>31.666666666666664</v>
      </c>
      <c r="O87" s="60">
        <f t="shared" si="3"/>
        <v>34.244905866556266</v>
      </c>
      <c r="P87">
        <v>0.24299999999999999</v>
      </c>
      <c r="Q87">
        <v>1.6839999999999999</v>
      </c>
      <c r="R87">
        <v>2.0449999999999999</v>
      </c>
    </row>
    <row r="88" spans="1:18">
      <c r="A88">
        <v>3</v>
      </c>
      <c r="B88" t="s">
        <v>132</v>
      </c>
      <c r="C88" t="s">
        <v>132</v>
      </c>
      <c r="D88" t="s">
        <v>449</v>
      </c>
      <c r="E88" t="s">
        <v>331</v>
      </c>
      <c r="F88">
        <v>0</v>
      </c>
      <c r="G88">
        <v>0.27</v>
      </c>
      <c r="H88">
        <v>180.9</v>
      </c>
      <c r="I88">
        <v>0.9</v>
      </c>
      <c r="J88">
        <v>3.74</v>
      </c>
      <c r="K88" s="51">
        <v>2.282</v>
      </c>
      <c r="L88" s="60">
        <v>16.666666666666664</v>
      </c>
      <c r="M88" s="60">
        <f t="shared" si="2"/>
        <v>24.094842552110698</v>
      </c>
      <c r="N88" s="60">
        <v>33.333333333333329</v>
      </c>
      <c r="O88" s="60">
        <f t="shared" si="3"/>
        <v>35.264389682754654</v>
      </c>
      <c r="P88">
        <v>0.246</v>
      </c>
      <c r="Q88">
        <v>2.0470000000000002</v>
      </c>
      <c r="R88">
        <v>2.0630000000000002</v>
      </c>
    </row>
    <row r="89" spans="1:18">
      <c r="A89">
        <v>3</v>
      </c>
      <c r="B89" t="s">
        <v>136</v>
      </c>
      <c r="C89" t="s">
        <v>136</v>
      </c>
      <c r="D89" t="s">
        <v>449</v>
      </c>
      <c r="E89" t="s">
        <v>331</v>
      </c>
      <c r="F89">
        <v>0</v>
      </c>
      <c r="G89">
        <v>0.78</v>
      </c>
      <c r="H89">
        <v>160</v>
      </c>
      <c r="I89">
        <v>2.44</v>
      </c>
      <c r="J89">
        <v>3.87</v>
      </c>
      <c r="K89" s="51">
        <v>2.3580000000000001</v>
      </c>
      <c r="L89" s="60">
        <v>35</v>
      </c>
      <c r="M89" s="60">
        <f t="shared" si="2"/>
        <v>36.271198438138953</v>
      </c>
      <c r="N89" s="60">
        <v>56.666666666666664</v>
      </c>
      <c r="O89" s="60">
        <f t="shared" si="3"/>
        <v>48.831127830383032</v>
      </c>
      <c r="P89">
        <v>0.246</v>
      </c>
      <c r="Q89">
        <v>1.425</v>
      </c>
      <c r="R89">
        <v>1.9350000000000001</v>
      </c>
    </row>
    <row r="90" spans="1:18">
      <c r="A90">
        <v>3</v>
      </c>
      <c r="B90" t="s">
        <v>136</v>
      </c>
      <c r="C90" t="s">
        <v>136</v>
      </c>
      <c r="D90" t="s">
        <v>449</v>
      </c>
      <c r="E90" t="s">
        <v>331</v>
      </c>
      <c r="F90">
        <v>0</v>
      </c>
      <c r="G90">
        <v>0.77</v>
      </c>
      <c r="H90">
        <v>141.5</v>
      </c>
      <c r="I90">
        <v>2.2000000000000002</v>
      </c>
      <c r="J90">
        <v>3.93</v>
      </c>
      <c r="K90" s="51">
        <v>2.2450000000000001</v>
      </c>
      <c r="L90" s="60">
        <v>21.666666666666668</v>
      </c>
      <c r="M90" s="60">
        <f t="shared" si="2"/>
        <v>27.740946079469367</v>
      </c>
      <c r="N90" s="60">
        <v>48.333333333333336</v>
      </c>
      <c r="O90" s="60">
        <f t="shared" si="3"/>
        <v>44.044893414145029</v>
      </c>
      <c r="P90">
        <v>0.25700000000000001</v>
      </c>
      <c r="Q90">
        <v>1.472</v>
      </c>
      <c r="R90">
        <v>1.9670000000000001</v>
      </c>
    </row>
    <row r="91" spans="1:18">
      <c r="A91">
        <v>3</v>
      </c>
      <c r="B91" t="s">
        <v>136</v>
      </c>
      <c r="C91" t="s">
        <v>136</v>
      </c>
      <c r="D91" t="s">
        <v>449</v>
      </c>
      <c r="E91" t="s">
        <v>331</v>
      </c>
      <c r="F91">
        <v>0.2</v>
      </c>
      <c r="G91">
        <v>0.64</v>
      </c>
      <c r="H91">
        <v>175.3</v>
      </c>
      <c r="I91">
        <v>1.66</v>
      </c>
      <c r="J91">
        <v>3.81</v>
      </c>
      <c r="K91" s="51">
        <v>2.6339999999999999</v>
      </c>
      <c r="L91" s="60">
        <v>23.333333333333332</v>
      </c>
      <c r="M91" s="60">
        <f t="shared" si="2"/>
        <v>28.884523682248947</v>
      </c>
      <c r="N91" s="60">
        <v>48.333333333333336</v>
      </c>
      <c r="O91" s="60">
        <f t="shared" si="3"/>
        <v>44.044893414145029</v>
      </c>
      <c r="P91">
        <v>0.26800000000000002</v>
      </c>
      <c r="Q91">
        <v>1.5029999999999999</v>
      </c>
      <c r="R91">
        <v>2.1309999999999998</v>
      </c>
    </row>
    <row r="92" spans="1:18">
      <c r="A92">
        <v>3</v>
      </c>
      <c r="B92" t="s">
        <v>140</v>
      </c>
      <c r="C92" t="s">
        <v>321</v>
      </c>
      <c r="D92" t="s">
        <v>449</v>
      </c>
      <c r="E92" t="s">
        <v>331</v>
      </c>
      <c r="F92">
        <v>0.22</v>
      </c>
      <c r="G92">
        <v>0.67</v>
      </c>
      <c r="H92">
        <v>156.5</v>
      </c>
      <c r="I92">
        <v>0.87</v>
      </c>
      <c r="J92">
        <v>3.69</v>
      </c>
      <c r="K92" s="51">
        <v>1.1499999999999999</v>
      </c>
      <c r="L92" s="60">
        <v>28.333333333333332</v>
      </c>
      <c r="M92" s="60">
        <f t="shared" si="2"/>
        <v>32.160355690271572</v>
      </c>
      <c r="N92" s="60">
        <v>45</v>
      </c>
      <c r="O92" s="60">
        <f t="shared" si="3"/>
        <v>42.130414761366609</v>
      </c>
      <c r="P92">
        <v>0.221</v>
      </c>
      <c r="Q92">
        <v>1.8380000000000001</v>
      </c>
      <c r="R92">
        <v>1.7909999999999999</v>
      </c>
    </row>
    <row r="93" spans="1:18">
      <c r="A93">
        <v>3</v>
      </c>
      <c r="B93" t="s">
        <v>140</v>
      </c>
      <c r="C93" t="s">
        <v>321</v>
      </c>
      <c r="D93" t="s">
        <v>449</v>
      </c>
      <c r="E93" t="s">
        <v>331</v>
      </c>
      <c r="F93">
        <v>0.04</v>
      </c>
      <c r="G93">
        <v>0.72</v>
      </c>
      <c r="H93">
        <v>156.80000000000001</v>
      </c>
      <c r="I93">
        <v>0</v>
      </c>
      <c r="J93">
        <v>3.63</v>
      </c>
      <c r="K93" s="51">
        <v>1.9179999999999999</v>
      </c>
      <c r="L93" s="60">
        <v>25</v>
      </c>
      <c r="M93" s="60">
        <f t="shared" si="2"/>
        <v>30.000000000000004</v>
      </c>
      <c r="N93" s="60">
        <v>36.666666666666664</v>
      </c>
      <c r="O93" s="60">
        <f t="shared" si="3"/>
        <v>37.266995023289724</v>
      </c>
      <c r="P93">
        <v>0.216</v>
      </c>
      <c r="Q93">
        <v>1.5549999999999999</v>
      </c>
      <c r="R93">
        <v>1.6870000000000001</v>
      </c>
    </row>
    <row r="94" spans="1:18">
      <c r="A94">
        <v>3</v>
      </c>
      <c r="B94" t="s">
        <v>140</v>
      </c>
      <c r="C94" t="s">
        <v>321</v>
      </c>
      <c r="D94" t="s">
        <v>449</v>
      </c>
      <c r="E94" t="s">
        <v>331</v>
      </c>
      <c r="F94">
        <v>0.02</v>
      </c>
      <c r="G94">
        <v>0.85</v>
      </c>
      <c r="H94">
        <v>142.30000000000001</v>
      </c>
      <c r="I94">
        <v>0.88</v>
      </c>
      <c r="J94">
        <v>3.44</v>
      </c>
      <c r="K94" s="51">
        <v>2.3170000000000002</v>
      </c>
      <c r="L94" s="60">
        <v>26.666666666666668</v>
      </c>
      <c r="M94" s="60">
        <f t="shared" si="2"/>
        <v>31.090930357673031</v>
      </c>
      <c r="N94" s="60">
        <v>45</v>
      </c>
      <c r="O94" s="60">
        <f t="shared" si="3"/>
        <v>42.130414761366609</v>
      </c>
      <c r="P94">
        <v>0.20699999999999999</v>
      </c>
      <c r="Q94">
        <v>1.712</v>
      </c>
      <c r="R94">
        <v>1.5580000000000001</v>
      </c>
    </row>
    <row r="95" spans="1:18">
      <c r="A95">
        <v>3</v>
      </c>
      <c r="B95" t="s">
        <v>144</v>
      </c>
      <c r="C95" t="s">
        <v>322</v>
      </c>
      <c r="D95" t="s">
        <v>449</v>
      </c>
      <c r="E95" t="s">
        <v>331</v>
      </c>
      <c r="F95">
        <v>0.02</v>
      </c>
      <c r="G95">
        <v>0.43</v>
      </c>
      <c r="H95">
        <v>180.1</v>
      </c>
      <c r="I95">
        <v>0</v>
      </c>
      <c r="J95">
        <v>3.6</v>
      </c>
      <c r="K95" s="51">
        <v>1.9750000000000001</v>
      </c>
      <c r="L95" s="60">
        <v>11.666666666666666</v>
      </c>
      <c r="M95" s="60">
        <f>ASIN(SQRT(L95/100))*180/PI()</f>
        <v>19.972252594907442</v>
      </c>
      <c r="N95" s="60">
        <v>18.333333333333332</v>
      </c>
      <c r="O95" s="60">
        <f t="shared" si="3"/>
        <v>25.351759880406242</v>
      </c>
      <c r="P95">
        <v>0.23799999999999999</v>
      </c>
      <c r="Q95">
        <v>1.59</v>
      </c>
      <c r="R95">
        <v>2.077</v>
      </c>
    </row>
    <row r="96" spans="1:18">
      <c r="A96">
        <v>3</v>
      </c>
      <c r="B96" t="s">
        <v>144</v>
      </c>
      <c r="C96" t="s">
        <v>322</v>
      </c>
      <c r="D96" t="s">
        <v>449</v>
      </c>
      <c r="E96" t="s">
        <v>331</v>
      </c>
      <c r="F96">
        <v>0.03</v>
      </c>
      <c r="G96">
        <v>0.44</v>
      </c>
      <c r="H96">
        <v>189.2</v>
      </c>
      <c r="I96">
        <v>0</v>
      </c>
      <c r="J96">
        <v>3.41</v>
      </c>
      <c r="K96" s="51">
        <v>2.0760000000000001</v>
      </c>
      <c r="L96" s="60">
        <v>23.333333333333332</v>
      </c>
      <c r="M96" s="60">
        <f>ASIN(SQRT(L96/100))*180/PI()</f>
        <v>28.884523682248947</v>
      </c>
      <c r="N96" s="60">
        <v>23.333333333333332</v>
      </c>
      <c r="O96" s="60">
        <f>ASIN(SQRT(N96/100))*180/PI()</f>
        <v>28.884523682248947</v>
      </c>
      <c r="P96">
        <v>0.20599999999999999</v>
      </c>
      <c r="Q96">
        <v>1.9530000000000001</v>
      </c>
      <c r="R96">
        <v>2.085</v>
      </c>
    </row>
    <row r="97" spans="1:18">
      <c r="A97">
        <v>3</v>
      </c>
      <c r="B97" t="s">
        <v>144</v>
      </c>
      <c r="C97" t="s">
        <v>322</v>
      </c>
      <c r="D97" t="s">
        <v>449</v>
      </c>
      <c r="E97" t="s">
        <v>331</v>
      </c>
      <c r="F97">
        <v>0.01</v>
      </c>
      <c r="G97">
        <v>0.52</v>
      </c>
      <c r="H97">
        <v>210.3</v>
      </c>
      <c r="I97">
        <v>0</v>
      </c>
      <c r="J97">
        <v>3.63</v>
      </c>
      <c r="K97" s="51">
        <v>1.9370000000000001</v>
      </c>
      <c r="L97" s="60">
        <v>16.666666666666664</v>
      </c>
      <c r="M97" s="60">
        <f t="shared" si="2"/>
        <v>24.094842552110698</v>
      </c>
      <c r="N97" s="60">
        <v>21.666666666666668</v>
      </c>
      <c r="O97" s="60">
        <f t="shared" si="3"/>
        <v>27.740946079469367</v>
      </c>
      <c r="P97">
        <v>0.23200000000000001</v>
      </c>
      <c r="Q97">
        <v>1.8120000000000001</v>
      </c>
      <c r="R97">
        <v>2.1829999999999998</v>
      </c>
    </row>
    <row r="98" spans="1:18">
      <c r="A98">
        <v>3</v>
      </c>
      <c r="B98" t="s">
        <v>148</v>
      </c>
      <c r="C98" t="s">
        <v>148</v>
      </c>
      <c r="D98" t="s">
        <v>449</v>
      </c>
      <c r="E98" t="s">
        <v>331</v>
      </c>
      <c r="F98">
        <v>0.01</v>
      </c>
      <c r="G98">
        <v>0.74</v>
      </c>
      <c r="H98">
        <v>204.3</v>
      </c>
      <c r="I98">
        <v>0.7</v>
      </c>
      <c r="J98">
        <v>3.62</v>
      </c>
      <c r="K98" s="51">
        <v>1.929</v>
      </c>
      <c r="L98" s="60">
        <v>23.333333333333332</v>
      </c>
      <c r="M98" s="60">
        <f t="shared" si="2"/>
        <v>28.884523682248947</v>
      </c>
      <c r="N98" s="60">
        <v>36.666666666666664</v>
      </c>
      <c r="O98" s="60">
        <f t="shared" si="3"/>
        <v>37.266995023289724</v>
      </c>
      <c r="P98">
        <v>0.26200000000000001</v>
      </c>
      <c r="Q98">
        <v>1.667</v>
      </c>
      <c r="R98">
        <v>2.0139999999999998</v>
      </c>
    </row>
    <row r="99" spans="1:18">
      <c r="A99">
        <v>3</v>
      </c>
      <c r="B99" t="s">
        <v>148</v>
      </c>
      <c r="C99" t="s">
        <v>148</v>
      </c>
      <c r="D99" t="s">
        <v>449</v>
      </c>
      <c r="E99" t="s">
        <v>331</v>
      </c>
      <c r="F99">
        <v>0.05</v>
      </c>
      <c r="G99">
        <v>0.63</v>
      </c>
      <c r="H99">
        <v>157.6</v>
      </c>
      <c r="I99">
        <v>0.21</v>
      </c>
      <c r="J99">
        <v>3.71</v>
      </c>
      <c r="K99" s="51">
        <v>1.92</v>
      </c>
      <c r="L99" s="60">
        <v>25</v>
      </c>
      <c r="M99" s="60">
        <f t="shared" si="2"/>
        <v>30.000000000000004</v>
      </c>
      <c r="N99" s="60">
        <v>46.666666666666664</v>
      </c>
      <c r="O99" s="60">
        <f t="shared" si="3"/>
        <v>43.08872313536282</v>
      </c>
      <c r="P99">
        <v>0.26300000000000001</v>
      </c>
      <c r="Q99">
        <v>1.5249999999999999</v>
      </c>
      <c r="R99">
        <v>1.8979999999999999</v>
      </c>
    </row>
    <row r="100" spans="1:18">
      <c r="A100">
        <v>3</v>
      </c>
      <c r="B100" t="s">
        <v>148</v>
      </c>
      <c r="C100" t="s">
        <v>148</v>
      </c>
      <c r="D100" t="s">
        <v>449</v>
      </c>
      <c r="E100" t="s">
        <v>331</v>
      </c>
      <c r="F100">
        <v>0</v>
      </c>
      <c r="G100">
        <v>0.56999999999999995</v>
      </c>
      <c r="H100">
        <v>188.2</v>
      </c>
      <c r="I100">
        <v>0</v>
      </c>
      <c r="J100">
        <v>3.5</v>
      </c>
      <c r="K100" s="51">
        <v>2.0190000000000001</v>
      </c>
      <c r="L100" s="60">
        <v>21.666666666666668</v>
      </c>
      <c r="M100" s="60">
        <f t="shared" si="2"/>
        <v>27.740946079469367</v>
      </c>
      <c r="N100" s="60">
        <v>33.333333333333329</v>
      </c>
      <c r="O100" s="60">
        <f t="shared" si="3"/>
        <v>35.264389682754654</v>
      </c>
      <c r="P100">
        <v>0.26300000000000001</v>
      </c>
      <c r="Q100">
        <v>1.9419999999999999</v>
      </c>
      <c r="R100">
        <v>2.1230000000000002</v>
      </c>
    </row>
    <row r="101" spans="1:18">
      <c r="A101">
        <v>3</v>
      </c>
      <c r="B101" t="s">
        <v>152</v>
      </c>
      <c r="C101" t="s">
        <v>323</v>
      </c>
      <c r="D101" t="s">
        <v>449</v>
      </c>
      <c r="E101" t="s">
        <v>331</v>
      </c>
      <c r="F101">
        <v>0.01</v>
      </c>
      <c r="G101">
        <v>0.77</v>
      </c>
      <c r="H101">
        <v>147.5</v>
      </c>
      <c r="I101">
        <v>0.88</v>
      </c>
      <c r="J101">
        <v>3.59</v>
      </c>
      <c r="K101" s="51">
        <v>2.234</v>
      </c>
      <c r="L101" s="60">
        <v>31.666666666666664</v>
      </c>
      <c r="M101" s="60">
        <f t="shared" si="2"/>
        <v>34.244905866556266</v>
      </c>
      <c r="N101" s="60">
        <v>38.333333333333336</v>
      </c>
      <c r="O101" s="60">
        <f t="shared" si="3"/>
        <v>38.253300589224153</v>
      </c>
      <c r="P101">
        <v>0.216</v>
      </c>
      <c r="Q101">
        <v>1.5449999999999999</v>
      </c>
      <c r="R101">
        <v>1.6739999999999999</v>
      </c>
    </row>
    <row r="102" spans="1:18">
      <c r="A102">
        <v>3</v>
      </c>
      <c r="B102" t="s">
        <v>152</v>
      </c>
      <c r="C102" t="s">
        <v>323</v>
      </c>
      <c r="D102" t="s">
        <v>449</v>
      </c>
      <c r="E102" t="s">
        <v>331</v>
      </c>
      <c r="F102">
        <v>0</v>
      </c>
      <c r="G102">
        <v>0.88</v>
      </c>
      <c r="H102">
        <v>160</v>
      </c>
      <c r="I102">
        <v>0.92</v>
      </c>
      <c r="J102">
        <v>3.71</v>
      </c>
      <c r="K102" s="51">
        <v>2.3740000000000001</v>
      </c>
      <c r="L102" s="60">
        <v>28.333333333333332</v>
      </c>
      <c r="M102" s="60">
        <f t="shared" si="2"/>
        <v>32.160355690271572</v>
      </c>
      <c r="N102" s="60">
        <v>50</v>
      </c>
      <c r="O102" s="60">
        <f t="shared" si="3"/>
        <v>45.000000000000007</v>
      </c>
      <c r="P102">
        <v>0.24399999999999999</v>
      </c>
      <c r="Q102">
        <v>1.53</v>
      </c>
      <c r="R102">
        <v>1.8080000000000001</v>
      </c>
    </row>
    <row r="103" spans="1:18">
      <c r="A103">
        <v>3</v>
      </c>
      <c r="B103" t="s">
        <v>152</v>
      </c>
      <c r="C103" t="s">
        <v>323</v>
      </c>
      <c r="D103" t="s">
        <v>449</v>
      </c>
      <c r="E103" t="s">
        <v>331</v>
      </c>
      <c r="F103">
        <v>0</v>
      </c>
      <c r="G103">
        <v>0.56999999999999995</v>
      </c>
      <c r="H103">
        <v>109.5</v>
      </c>
      <c r="I103">
        <v>0</v>
      </c>
      <c r="J103">
        <v>3.68</v>
      </c>
      <c r="K103" s="51">
        <v>2.347</v>
      </c>
      <c r="L103" s="60">
        <v>33.333333333333329</v>
      </c>
      <c r="M103" s="60">
        <f t="shared" si="2"/>
        <v>35.264389682754654</v>
      </c>
      <c r="N103" s="60">
        <v>46.666666666666664</v>
      </c>
      <c r="O103" s="60">
        <f t="shared" si="3"/>
        <v>43.08872313536282</v>
      </c>
      <c r="P103">
        <v>0.25700000000000001</v>
      </c>
      <c r="Q103">
        <v>1.6060000000000001</v>
      </c>
      <c r="R103">
        <v>1.7350000000000001</v>
      </c>
    </row>
    <row r="104" spans="1:18">
      <c r="A104">
        <v>3</v>
      </c>
      <c r="B104" t="s">
        <v>375</v>
      </c>
      <c r="C104" t="s">
        <v>375</v>
      </c>
      <c r="D104" t="s">
        <v>449</v>
      </c>
      <c r="E104" t="s">
        <v>331</v>
      </c>
      <c r="F104">
        <v>0.86</v>
      </c>
      <c r="G104">
        <v>2.31</v>
      </c>
      <c r="H104">
        <v>114.9</v>
      </c>
      <c r="I104">
        <v>0</v>
      </c>
      <c r="J104">
        <v>3.71</v>
      </c>
      <c r="K104" s="51">
        <v>5.085</v>
      </c>
      <c r="L104" s="60">
        <v>25</v>
      </c>
      <c r="M104" s="60">
        <f t="shared" si="2"/>
        <v>30.000000000000004</v>
      </c>
      <c r="N104" s="60">
        <v>45</v>
      </c>
      <c r="O104" s="60">
        <f t="shared" si="3"/>
        <v>42.130414761366609</v>
      </c>
      <c r="P104">
        <v>0.30599999999999999</v>
      </c>
      <c r="Q104">
        <v>2.2549999999999999</v>
      </c>
      <c r="R104">
        <v>1.758</v>
      </c>
    </row>
    <row r="105" spans="1:18">
      <c r="A105">
        <v>3</v>
      </c>
      <c r="B105" t="s">
        <v>375</v>
      </c>
      <c r="C105" t="s">
        <v>375</v>
      </c>
      <c r="D105" t="s">
        <v>449</v>
      </c>
      <c r="E105" t="s">
        <v>331</v>
      </c>
      <c r="F105">
        <v>1.35</v>
      </c>
      <c r="G105">
        <v>2.67</v>
      </c>
      <c r="H105">
        <v>126.4</v>
      </c>
      <c r="I105">
        <v>0</v>
      </c>
      <c r="J105">
        <v>3.73</v>
      </c>
      <c r="K105" s="51">
        <v>6.0860000000000003</v>
      </c>
      <c r="L105" s="60">
        <v>26.666666666666668</v>
      </c>
      <c r="M105" s="60">
        <f t="shared" si="2"/>
        <v>31.090930357673031</v>
      </c>
      <c r="N105" s="60">
        <v>48.333333333333336</v>
      </c>
      <c r="O105" s="60">
        <f t="shared" si="3"/>
        <v>44.044893414145029</v>
      </c>
      <c r="P105">
        <v>0.307</v>
      </c>
      <c r="Q105">
        <v>2.7570000000000001</v>
      </c>
      <c r="R105">
        <v>1.8440000000000001</v>
      </c>
    </row>
    <row r="106" spans="1:18">
      <c r="A106">
        <v>3</v>
      </c>
      <c r="B106" t="s">
        <v>375</v>
      </c>
      <c r="C106" t="s">
        <v>375</v>
      </c>
      <c r="D106" t="s">
        <v>449</v>
      </c>
      <c r="E106" t="s">
        <v>331</v>
      </c>
      <c r="F106">
        <v>2.54</v>
      </c>
      <c r="G106">
        <v>3.9</v>
      </c>
      <c r="H106">
        <v>150.4</v>
      </c>
      <c r="I106">
        <v>0</v>
      </c>
      <c r="J106">
        <v>3.65</v>
      </c>
      <c r="K106" s="51">
        <v>6.4809999999999999</v>
      </c>
      <c r="L106" s="60">
        <v>23.333333333333332</v>
      </c>
      <c r="M106" s="60">
        <f t="shared" si="2"/>
        <v>28.884523682248947</v>
      </c>
      <c r="N106" s="60">
        <v>46.666666666666664</v>
      </c>
      <c r="O106" s="60">
        <f t="shared" si="3"/>
        <v>43.08872313536282</v>
      </c>
      <c r="P106">
        <v>0.35099999999999998</v>
      </c>
      <c r="Q106">
        <v>2.93</v>
      </c>
      <c r="R106">
        <v>1.9410000000000001</v>
      </c>
    </row>
    <row r="107" spans="1:18">
      <c r="A107">
        <v>3</v>
      </c>
      <c r="B107" t="s">
        <v>160</v>
      </c>
      <c r="C107" t="s">
        <v>160</v>
      </c>
      <c r="D107" t="s">
        <v>449</v>
      </c>
      <c r="E107" t="s">
        <v>331</v>
      </c>
      <c r="F107">
        <v>0.06</v>
      </c>
      <c r="G107">
        <v>0.63</v>
      </c>
      <c r="H107">
        <v>164.2</v>
      </c>
      <c r="I107">
        <v>0</v>
      </c>
      <c r="J107">
        <v>3.66</v>
      </c>
      <c r="K107" s="51">
        <v>2.319</v>
      </c>
      <c r="L107" s="60">
        <v>28.333333333333332</v>
      </c>
      <c r="M107" s="60">
        <f t="shared" si="2"/>
        <v>32.160355690271572</v>
      </c>
      <c r="N107" s="60">
        <v>35</v>
      </c>
      <c r="O107" s="60">
        <f t="shared" si="3"/>
        <v>36.271198438138953</v>
      </c>
      <c r="P107">
        <v>0.26</v>
      </c>
      <c r="Q107">
        <v>1.5529999999999999</v>
      </c>
      <c r="R107">
        <v>1.9750000000000001</v>
      </c>
    </row>
    <row r="108" spans="1:18">
      <c r="A108">
        <v>3</v>
      </c>
      <c r="B108" t="s">
        <v>160</v>
      </c>
      <c r="C108" t="s">
        <v>160</v>
      </c>
      <c r="D108" t="s">
        <v>449</v>
      </c>
      <c r="E108" t="s">
        <v>331</v>
      </c>
      <c r="F108">
        <v>0.05</v>
      </c>
      <c r="G108">
        <v>0.57999999999999996</v>
      </c>
      <c r="H108">
        <v>158.9</v>
      </c>
      <c r="I108">
        <v>0</v>
      </c>
      <c r="J108">
        <v>3.66</v>
      </c>
      <c r="K108" s="51">
        <v>2.4220000000000002</v>
      </c>
      <c r="L108" s="60">
        <v>25</v>
      </c>
      <c r="M108" s="60">
        <f t="shared" si="2"/>
        <v>30.000000000000004</v>
      </c>
      <c r="N108" s="60">
        <v>40</v>
      </c>
      <c r="O108" s="60">
        <f t="shared" si="3"/>
        <v>39.231520483592263</v>
      </c>
      <c r="P108">
        <v>0.25</v>
      </c>
      <c r="Q108">
        <v>1.57</v>
      </c>
      <c r="R108">
        <v>1.946</v>
      </c>
    </row>
    <row r="109" spans="1:18">
      <c r="A109">
        <v>3</v>
      </c>
      <c r="B109" t="s">
        <v>160</v>
      </c>
      <c r="C109" t="s">
        <v>160</v>
      </c>
      <c r="D109" t="s">
        <v>449</v>
      </c>
      <c r="E109" t="s">
        <v>331</v>
      </c>
      <c r="F109">
        <v>0.05</v>
      </c>
      <c r="G109">
        <v>0.52</v>
      </c>
      <c r="H109">
        <v>151.4</v>
      </c>
      <c r="I109">
        <v>0</v>
      </c>
      <c r="J109">
        <v>3.57</v>
      </c>
      <c r="K109" s="51">
        <v>2.0670000000000002</v>
      </c>
      <c r="L109" s="60">
        <v>25</v>
      </c>
      <c r="M109" s="60">
        <f t="shared" si="2"/>
        <v>30.000000000000004</v>
      </c>
      <c r="N109" s="60">
        <v>36.666666666666664</v>
      </c>
      <c r="O109" s="60">
        <f t="shared" si="3"/>
        <v>37.266995023289724</v>
      </c>
      <c r="P109">
        <v>0.24399999999999999</v>
      </c>
      <c r="Q109">
        <v>1.657</v>
      </c>
      <c r="R109">
        <v>1.8360000000000001</v>
      </c>
    </row>
    <row r="110" spans="1:18">
      <c r="A110">
        <v>3</v>
      </c>
      <c r="B110" t="s">
        <v>372</v>
      </c>
      <c r="C110" t="s">
        <v>372</v>
      </c>
      <c r="D110" t="s">
        <v>453</v>
      </c>
      <c r="E110" t="s">
        <v>335</v>
      </c>
      <c r="F110">
        <v>1.7</v>
      </c>
      <c r="G110">
        <v>0.69</v>
      </c>
      <c r="H110">
        <v>187.5</v>
      </c>
      <c r="I110">
        <v>0.16</v>
      </c>
      <c r="J110">
        <v>3.31</v>
      </c>
      <c r="K110" s="51">
        <v>3.5859999999999999</v>
      </c>
      <c r="L110" s="60">
        <v>6.666666666666667</v>
      </c>
      <c r="M110" s="60">
        <f t="shared" si="2"/>
        <v>14.963217433307118</v>
      </c>
      <c r="N110" s="60">
        <v>35</v>
      </c>
      <c r="O110" s="60">
        <f t="shared" si="3"/>
        <v>36.271198438138953</v>
      </c>
      <c r="P110">
        <v>0.39400000000000002</v>
      </c>
      <c r="Q110">
        <v>2.5089999999999999</v>
      </c>
      <c r="R110">
        <v>2.2669999999999999</v>
      </c>
    </row>
    <row r="111" spans="1:18">
      <c r="A111">
        <v>3</v>
      </c>
      <c r="B111" t="s">
        <v>372</v>
      </c>
      <c r="C111" t="s">
        <v>372</v>
      </c>
      <c r="D111" t="s">
        <v>453</v>
      </c>
      <c r="E111" t="s">
        <v>335</v>
      </c>
      <c r="F111">
        <v>0.72</v>
      </c>
      <c r="G111">
        <v>0.56000000000000005</v>
      </c>
      <c r="H111">
        <v>158.80000000000001</v>
      </c>
      <c r="I111">
        <v>0.18</v>
      </c>
      <c r="J111">
        <v>3.23</v>
      </c>
      <c r="K111" s="51">
        <v>2.8919999999999999</v>
      </c>
      <c r="L111" s="60">
        <v>20</v>
      </c>
      <c r="M111" s="60">
        <f t="shared" si="2"/>
        <v>26.56505117707799</v>
      </c>
      <c r="N111" s="60">
        <v>31.666666666666664</v>
      </c>
      <c r="O111" s="60">
        <f t="shared" si="3"/>
        <v>34.244905866556266</v>
      </c>
      <c r="P111">
        <v>0.36099999999999999</v>
      </c>
      <c r="Q111">
        <v>2.246</v>
      </c>
      <c r="R111">
        <v>2.1349999999999998</v>
      </c>
    </row>
    <row r="112" spans="1:18">
      <c r="A112">
        <v>3</v>
      </c>
      <c r="B112" t="s">
        <v>372</v>
      </c>
      <c r="C112" t="s">
        <v>372</v>
      </c>
      <c r="D112" t="s">
        <v>453</v>
      </c>
      <c r="E112" t="s">
        <v>335</v>
      </c>
      <c r="F112">
        <v>0.83</v>
      </c>
      <c r="G112">
        <v>0.52</v>
      </c>
      <c r="H112">
        <v>135.4</v>
      </c>
      <c r="I112">
        <v>0.1</v>
      </c>
      <c r="J112">
        <v>3.24</v>
      </c>
      <c r="K112" s="51">
        <v>3.3580000000000001</v>
      </c>
      <c r="L112" s="60">
        <v>26.666666666666668</v>
      </c>
      <c r="M112" s="60">
        <f t="shared" si="2"/>
        <v>31.090930357673031</v>
      </c>
      <c r="N112" s="60">
        <v>41.666666666666671</v>
      </c>
      <c r="O112" s="60">
        <f t="shared" si="3"/>
        <v>40.202965886569778</v>
      </c>
      <c r="P112">
        <v>0.37</v>
      </c>
      <c r="Q112">
        <v>2.5640000000000001</v>
      </c>
      <c r="R112">
        <v>2.2639999999999998</v>
      </c>
    </row>
    <row r="113" spans="1:18">
      <c r="A113">
        <v>3</v>
      </c>
      <c r="B113" t="s">
        <v>168</v>
      </c>
      <c r="C113" t="s">
        <v>168</v>
      </c>
      <c r="D113" t="s">
        <v>453</v>
      </c>
      <c r="E113" t="s">
        <v>335</v>
      </c>
      <c r="F113">
        <v>1</v>
      </c>
      <c r="G113">
        <v>0.54</v>
      </c>
      <c r="H113">
        <v>173</v>
      </c>
      <c r="I113">
        <v>0</v>
      </c>
      <c r="J113">
        <v>3.27</v>
      </c>
      <c r="K113" s="51">
        <v>3.7690000000000001</v>
      </c>
      <c r="L113" s="60">
        <v>18.333333333333332</v>
      </c>
      <c r="M113" s="60">
        <f t="shared" si="2"/>
        <v>25.351759880406242</v>
      </c>
      <c r="N113" s="60">
        <v>35</v>
      </c>
      <c r="O113" s="60">
        <f t="shared" si="3"/>
        <v>36.271198438138953</v>
      </c>
      <c r="P113">
        <v>0.33600000000000002</v>
      </c>
      <c r="Q113">
        <v>2.6429999999999998</v>
      </c>
      <c r="R113">
        <v>2.1459999999999999</v>
      </c>
    </row>
    <row r="114" spans="1:18">
      <c r="A114">
        <v>3</v>
      </c>
      <c r="B114" t="s">
        <v>168</v>
      </c>
      <c r="C114" t="s">
        <v>168</v>
      </c>
      <c r="D114" t="s">
        <v>453</v>
      </c>
      <c r="E114" t="s">
        <v>335</v>
      </c>
      <c r="F114">
        <v>1.26</v>
      </c>
      <c r="G114">
        <v>0.6</v>
      </c>
      <c r="H114">
        <v>193.5</v>
      </c>
      <c r="I114">
        <v>0</v>
      </c>
      <c r="J114">
        <v>3.42</v>
      </c>
      <c r="K114" s="51">
        <v>3.3479999999999999</v>
      </c>
      <c r="L114" s="60">
        <v>25</v>
      </c>
      <c r="M114" s="60">
        <f t="shared" si="2"/>
        <v>30.000000000000004</v>
      </c>
      <c r="N114" s="60">
        <v>41.666666666666671</v>
      </c>
      <c r="O114" s="60">
        <f t="shared" si="3"/>
        <v>40.202965886569778</v>
      </c>
      <c r="P114">
        <v>0.38600000000000001</v>
      </c>
      <c r="Q114">
        <v>2.6269999999999998</v>
      </c>
      <c r="R114">
        <v>2.3759999999999999</v>
      </c>
    </row>
    <row r="115" spans="1:18">
      <c r="A115">
        <v>3</v>
      </c>
      <c r="B115" t="s">
        <v>168</v>
      </c>
      <c r="C115" t="s">
        <v>168</v>
      </c>
      <c r="D115" t="s">
        <v>453</v>
      </c>
      <c r="E115" t="s">
        <v>335</v>
      </c>
      <c r="F115">
        <v>1.59</v>
      </c>
      <c r="G115">
        <v>0.65</v>
      </c>
      <c r="H115">
        <v>179.4</v>
      </c>
      <c r="I115">
        <v>0</v>
      </c>
      <c r="J115">
        <v>3.25</v>
      </c>
      <c r="K115" s="51">
        <v>3.8959999999999999</v>
      </c>
      <c r="L115" s="60">
        <v>18.333333333333332</v>
      </c>
      <c r="M115" s="60">
        <f t="shared" si="2"/>
        <v>25.351759880406242</v>
      </c>
      <c r="N115" s="60">
        <v>31.666666666666664</v>
      </c>
      <c r="O115" s="60">
        <f t="shared" si="3"/>
        <v>34.244905866556266</v>
      </c>
      <c r="P115">
        <v>0.36599999999999999</v>
      </c>
      <c r="Q115">
        <v>2.774</v>
      </c>
      <c r="R115">
        <v>2.2429999999999999</v>
      </c>
    </row>
    <row r="116" spans="1:18">
      <c r="A116">
        <v>3</v>
      </c>
      <c r="B116" t="s">
        <v>373</v>
      </c>
      <c r="C116" t="s">
        <v>373</v>
      </c>
      <c r="D116" t="s">
        <v>453</v>
      </c>
      <c r="E116" t="s">
        <v>335</v>
      </c>
      <c r="F116">
        <v>0.78</v>
      </c>
      <c r="G116">
        <v>0.47</v>
      </c>
      <c r="H116">
        <v>192.6</v>
      </c>
      <c r="I116">
        <v>0</v>
      </c>
      <c r="J116">
        <v>3.31</v>
      </c>
      <c r="K116" s="51">
        <v>3.0960000000000001</v>
      </c>
      <c r="L116" s="60">
        <v>16.666666666666664</v>
      </c>
      <c r="M116" s="60">
        <f t="shared" si="2"/>
        <v>24.094842552110698</v>
      </c>
      <c r="N116" s="60">
        <v>21.666666666666668</v>
      </c>
      <c r="O116" s="60">
        <f t="shared" si="3"/>
        <v>27.740946079469367</v>
      </c>
      <c r="P116">
        <v>0.32700000000000001</v>
      </c>
      <c r="Q116">
        <v>2.1379999999999999</v>
      </c>
      <c r="R116">
        <v>2.1739999999999999</v>
      </c>
    </row>
    <row r="117" spans="1:18">
      <c r="A117">
        <v>3</v>
      </c>
      <c r="B117" t="s">
        <v>373</v>
      </c>
      <c r="C117" t="s">
        <v>373</v>
      </c>
      <c r="D117" t="s">
        <v>453</v>
      </c>
      <c r="E117" t="s">
        <v>335</v>
      </c>
      <c r="F117">
        <v>1.25</v>
      </c>
      <c r="G117">
        <v>0.43</v>
      </c>
      <c r="H117">
        <v>208</v>
      </c>
      <c r="I117">
        <v>0.09</v>
      </c>
      <c r="J117">
        <v>3.38</v>
      </c>
      <c r="K117" s="51">
        <v>3.363</v>
      </c>
      <c r="L117" s="60">
        <v>11.666666666666666</v>
      </c>
      <c r="M117" s="60">
        <f t="shared" si="2"/>
        <v>19.972252594907442</v>
      </c>
      <c r="N117" s="60">
        <v>30</v>
      </c>
      <c r="O117" s="60">
        <f t="shared" si="3"/>
        <v>33.210910760899083</v>
      </c>
      <c r="P117">
        <v>0.32200000000000001</v>
      </c>
      <c r="Q117">
        <v>2.589</v>
      </c>
      <c r="R117">
        <v>2.238</v>
      </c>
    </row>
    <row r="118" spans="1:18">
      <c r="A118">
        <v>3</v>
      </c>
      <c r="B118" t="s">
        <v>373</v>
      </c>
      <c r="C118" t="s">
        <v>373</v>
      </c>
      <c r="D118" t="s">
        <v>453</v>
      </c>
      <c r="E118" t="s">
        <v>335</v>
      </c>
      <c r="F118">
        <v>0.77</v>
      </c>
      <c r="G118">
        <v>0.38</v>
      </c>
      <c r="H118">
        <v>189.5</v>
      </c>
      <c r="I118">
        <v>0.12</v>
      </c>
      <c r="J118">
        <v>3.31</v>
      </c>
      <c r="K118" s="51">
        <v>3.0419999999999998</v>
      </c>
      <c r="L118" s="60">
        <v>3.3333333333333335</v>
      </c>
      <c r="M118" s="60">
        <f t="shared" si="2"/>
        <v>10.519734890658619</v>
      </c>
      <c r="N118" s="60">
        <v>28.333333333333332</v>
      </c>
      <c r="O118" s="60">
        <f t="shared" si="3"/>
        <v>32.160355690271572</v>
      </c>
      <c r="P118">
        <v>0.30099999999999999</v>
      </c>
      <c r="Q118">
        <v>2.258</v>
      </c>
      <c r="R118">
        <v>2.1560000000000001</v>
      </c>
    </row>
    <row r="119" spans="1:18">
      <c r="A119">
        <v>3</v>
      </c>
      <c r="B119" t="s">
        <v>351</v>
      </c>
      <c r="C119" t="s">
        <v>324</v>
      </c>
      <c r="D119" t="s">
        <v>336</v>
      </c>
      <c r="E119" t="s">
        <v>336</v>
      </c>
      <c r="F119">
        <v>0</v>
      </c>
      <c r="G119">
        <v>0.3</v>
      </c>
      <c r="H119">
        <v>221.4</v>
      </c>
      <c r="I119">
        <v>0</v>
      </c>
      <c r="J119">
        <v>3.74</v>
      </c>
      <c r="K119" s="51">
        <v>2.02</v>
      </c>
      <c r="L119" s="60">
        <v>0</v>
      </c>
      <c r="M119" s="60">
        <f t="shared" si="2"/>
        <v>0</v>
      </c>
      <c r="N119" s="60">
        <v>0</v>
      </c>
      <c r="O119" s="60">
        <f t="shared" si="3"/>
        <v>0</v>
      </c>
      <c r="P119">
        <v>0.23300000000000001</v>
      </c>
      <c r="Q119">
        <v>1.837</v>
      </c>
      <c r="R119">
        <v>2.343</v>
      </c>
    </row>
    <row r="120" spans="1:18">
      <c r="A120">
        <v>3</v>
      </c>
      <c r="B120" t="s">
        <v>351</v>
      </c>
      <c r="C120" t="s">
        <v>324</v>
      </c>
      <c r="D120" t="s">
        <v>336</v>
      </c>
      <c r="E120" t="s">
        <v>336</v>
      </c>
      <c r="F120">
        <v>0</v>
      </c>
      <c r="G120">
        <v>0.27</v>
      </c>
      <c r="H120">
        <v>222.2</v>
      </c>
      <c r="I120">
        <v>0</v>
      </c>
      <c r="J120">
        <v>3.74</v>
      </c>
      <c r="K120" s="51">
        <v>2.2759999999999998</v>
      </c>
      <c r="L120" s="60">
        <v>0</v>
      </c>
      <c r="M120" s="60">
        <f t="shared" si="2"/>
        <v>0</v>
      </c>
      <c r="N120" s="60">
        <v>0</v>
      </c>
      <c r="O120" s="60">
        <f t="shared" si="3"/>
        <v>0</v>
      </c>
      <c r="P120">
        <v>0.23300000000000001</v>
      </c>
      <c r="Q120">
        <v>2.1739999999999999</v>
      </c>
      <c r="R120">
        <v>2.5550000000000002</v>
      </c>
    </row>
    <row r="121" spans="1:18">
      <c r="A121">
        <v>3</v>
      </c>
      <c r="B121" t="s">
        <v>351</v>
      </c>
      <c r="C121" t="s">
        <v>324</v>
      </c>
      <c r="D121" t="s">
        <v>336</v>
      </c>
      <c r="E121" t="s">
        <v>336</v>
      </c>
      <c r="F121">
        <v>0.02</v>
      </c>
      <c r="G121">
        <v>0.44</v>
      </c>
      <c r="H121">
        <v>220.1</v>
      </c>
      <c r="I121">
        <v>0</v>
      </c>
      <c r="J121">
        <v>3.65</v>
      </c>
      <c r="K121" s="51">
        <v>2.1379999999999999</v>
      </c>
      <c r="L121" s="60">
        <v>0</v>
      </c>
      <c r="M121" s="60">
        <f t="shared" si="2"/>
        <v>0</v>
      </c>
      <c r="N121" s="60">
        <v>0</v>
      </c>
      <c r="O121" s="60">
        <f t="shared" si="3"/>
        <v>0</v>
      </c>
      <c r="P121">
        <v>0.218</v>
      </c>
      <c r="Q121">
        <v>2.1269999999999998</v>
      </c>
      <c r="R121">
        <v>2.42</v>
      </c>
    </row>
    <row r="122" spans="1:18">
      <c r="A122">
        <v>3</v>
      </c>
      <c r="B122" t="s">
        <v>352</v>
      </c>
      <c r="C122" t="s">
        <v>325</v>
      </c>
      <c r="D122" t="s">
        <v>336</v>
      </c>
      <c r="E122" t="s">
        <v>336</v>
      </c>
      <c r="F122">
        <v>0.67</v>
      </c>
      <c r="G122">
        <v>0.56000000000000005</v>
      </c>
      <c r="H122">
        <v>181.1</v>
      </c>
      <c r="I122">
        <v>0.15</v>
      </c>
      <c r="J122">
        <v>3.31</v>
      </c>
      <c r="K122" s="51">
        <v>2.835</v>
      </c>
      <c r="L122" s="60">
        <v>0</v>
      </c>
      <c r="M122" s="60">
        <f t="shared" si="2"/>
        <v>0</v>
      </c>
      <c r="N122" s="60">
        <v>0</v>
      </c>
      <c r="O122" s="60">
        <f t="shared" si="3"/>
        <v>0</v>
      </c>
      <c r="P122">
        <v>0.28299999999999997</v>
      </c>
      <c r="Q122">
        <v>2.3919999999999999</v>
      </c>
      <c r="R122">
        <v>2.1309999999999998</v>
      </c>
    </row>
    <row r="123" spans="1:18">
      <c r="A123">
        <v>3</v>
      </c>
      <c r="B123" t="s">
        <v>352</v>
      </c>
      <c r="C123" t="s">
        <v>325</v>
      </c>
      <c r="D123" t="s">
        <v>336</v>
      </c>
      <c r="E123" t="s">
        <v>336</v>
      </c>
      <c r="F123">
        <v>1.01</v>
      </c>
      <c r="G123">
        <v>0.64</v>
      </c>
      <c r="H123">
        <v>178.9</v>
      </c>
      <c r="I123">
        <v>0.19</v>
      </c>
      <c r="J123">
        <v>3.26</v>
      </c>
      <c r="K123" s="51">
        <v>3.3079999999999998</v>
      </c>
      <c r="L123" s="60">
        <v>0</v>
      </c>
      <c r="M123" s="60">
        <f t="shared" si="2"/>
        <v>0</v>
      </c>
      <c r="N123" s="60">
        <v>0</v>
      </c>
      <c r="O123" s="60">
        <f t="shared" si="3"/>
        <v>0</v>
      </c>
      <c r="P123">
        <v>0.34699999999999998</v>
      </c>
      <c r="Q123">
        <v>2.6230000000000002</v>
      </c>
      <c r="R123">
        <v>2.0870000000000002</v>
      </c>
    </row>
    <row r="124" spans="1:18">
      <c r="A124">
        <v>3</v>
      </c>
      <c r="B124" t="s">
        <v>352</v>
      </c>
      <c r="C124" t="s">
        <v>325</v>
      </c>
      <c r="D124" t="s">
        <v>336</v>
      </c>
      <c r="E124" t="s">
        <v>336</v>
      </c>
      <c r="F124">
        <v>0.64</v>
      </c>
      <c r="G124">
        <v>0.55000000000000004</v>
      </c>
      <c r="H124">
        <v>180.4</v>
      </c>
      <c r="I124">
        <v>0.06</v>
      </c>
      <c r="J124">
        <v>3.24</v>
      </c>
      <c r="K124" s="51">
        <v>3.4289999999999998</v>
      </c>
      <c r="L124" s="60">
        <v>0</v>
      </c>
      <c r="M124" s="60">
        <f t="shared" si="2"/>
        <v>0</v>
      </c>
      <c r="N124" s="60">
        <v>0</v>
      </c>
      <c r="O124" s="60">
        <f t="shared" si="3"/>
        <v>0</v>
      </c>
      <c r="P124">
        <v>0.34899999999999998</v>
      </c>
      <c r="Q124">
        <v>2.6</v>
      </c>
      <c r="R124">
        <v>2.157</v>
      </c>
    </row>
    <row r="125" spans="1:18">
      <c r="A125">
        <v>3</v>
      </c>
      <c r="B125" t="s">
        <v>184</v>
      </c>
      <c r="C125" t="s">
        <v>336</v>
      </c>
      <c r="D125" t="s">
        <v>336</v>
      </c>
      <c r="E125" t="s">
        <v>336</v>
      </c>
      <c r="F125">
        <v>0</v>
      </c>
      <c r="G125">
        <v>0.37</v>
      </c>
      <c r="H125">
        <v>228.4</v>
      </c>
      <c r="I125">
        <v>0</v>
      </c>
      <c r="J125">
        <v>3.77</v>
      </c>
      <c r="K125" s="51">
        <v>1.97</v>
      </c>
      <c r="L125" s="60">
        <v>0</v>
      </c>
      <c r="M125" s="60">
        <f t="shared" si="2"/>
        <v>0</v>
      </c>
      <c r="N125" s="60">
        <v>0</v>
      </c>
      <c r="O125" s="60">
        <f t="shared" si="3"/>
        <v>0</v>
      </c>
      <c r="P125">
        <v>0.30199999999999999</v>
      </c>
      <c r="Q125">
        <v>1.647</v>
      </c>
      <c r="R125">
        <v>2.4889999999999999</v>
      </c>
    </row>
    <row r="126" spans="1:18">
      <c r="A126">
        <v>3</v>
      </c>
      <c r="B126" t="s">
        <v>184</v>
      </c>
      <c r="C126" t="s">
        <v>336</v>
      </c>
      <c r="D126" t="s">
        <v>336</v>
      </c>
      <c r="E126" t="s">
        <v>336</v>
      </c>
      <c r="F126">
        <v>0</v>
      </c>
      <c r="G126">
        <v>0.41</v>
      </c>
      <c r="H126">
        <v>232.8</v>
      </c>
      <c r="I126">
        <v>0.08</v>
      </c>
      <c r="J126">
        <v>3.74</v>
      </c>
      <c r="K126" s="51">
        <v>2.5419999999999998</v>
      </c>
      <c r="L126" s="60">
        <v>0</v>
      </c>
      <c r="M126" s="60">
        <f t="shared" si="2"/>
        <v>0</v>
      </c>
      <c r="N126" s="60">
        <v>0</v>
      </c>
      <c r="O126" s="60">
        <f t="shared" si="3"/>
        <v>0</v>
      </c>
      <c r="P126">
        <v>0.24199999999999999</v>
      </c>
      <c r="Q126">
        <v>1.6539999999999999</v>
      </c>
      <c r="R126">
        <v>2.5099999999999998</v>
      </c>
    </row>
    <row r="127" spans="1:18">
      <c r="A127">
        <v>3</v>
      </c>
      <c r="B127" t="s">
        <v>184</v>
      </c>
      <c r="C127" t="s">
        <v>336</v>
      </c>
      <c r="D127" t="s">
        <v>336</v>
      </c>
      <c r="E127" t="s">
        <v>336</v>
      </c>
      <c r="F127">
        <v>0.01</v>
      </c>
      <c r="G127">
        <v>0.36</v>
      </c>
      <c r="H127">
        <v>237.1</v>
      </c>
      <c r="I127">
        <v>0</v>
      </c>
      <c r="J127">
        <v>3.7</v>
      </c>
      <c r="K127" s="51">
        <v>2.0139999999999998</v>
      </c>
      <c r="L127" s="60">
        <v>0</v>
      </c>
      <c r="M127" s="60">
        <f t="shared" si="2"/>
        <v>0</v>
      </c>
      <c r="N127" s="60">
        <v>0</v>
      </c>
      <c r="O127" s="60">
        <f t="shared" si="3"/>
        <v>0</v>
      </c>
      <c r="P127">
        <v>0.246</v>
      </c>
      <c r="Q127">
        <v>1.6859999999999999</v>
      </c>
      <c r="R127">
        <v>2.5790000000000002</v>
      </c>
    </row>
    <row r="128" spans="1:18">
      <c r="A128">
        <v>4</v>
      </c>
      <c r="B128" t="s">
        <v>356</v>
      </c>
      <c r="C128" t="s">
        <v>320</v>
      </c>
      <c r="D128" t="s">
        <v>450</v>
      </c>
      <c r="E128" t="s">
        <v>332</v>
      </c>
      <c r="F128">
        <v>1.63</v>
      </c>
      <c r="G128">
        <v>2.34</v>
      </c>
      <c r="H128">
        <v>127.3</v>
      </c>
      <c r="I128">
        <v>0.9</v>
      </c>
      <c r="J128">
        <v>4.8499999999999996</v>
      </c>
      <c r="K128" s="51">
        <v>5.8540000000000001</v>
      </c>
      <c r="L128" s="60">
        <v>27.083333333333332</v>
      </c>
      <c r="M128" s="60">
        <f t="shared" si="2"/>
        <v>31.360193632010947</v>
      </c>
      <c r="N128" s="60">
        <v>47.916666666666671</v>
      </c>
      <c r="O128" s="60">
        <f t="shared" si="3"/>
        <v>43.805992268365614</v>
      </c>
      <c r="P128">
        <v>0.58976626687464895</v>
      </c>
      <c r="Q128">
        <v>3.3338091819617288</v>
      </c>
      <c r="R128">
        <v>3.7567710341831013</v>
      </c>
    </row>
    <row r="129" spans="1:18">
      <c r="A129">
        <v>4</v>
      </c>
      <c r="B129" t="s">
        <v>356</v>
      </c>
      <c r="C129" t="s">
        <v>320</v>
      </c>
      <c r="D129" t="s">
        <v>450</v>
      </c>
      <c r="E129" t="s">
        <v>332</v>
      </c>
      <c r="F129">
        <v>1.63</v>
      </c>
      <c r="G129">
        <v>2.0299999999999998</v>
      </c>
      <c r="H129">
        <v>94.4</v>
      </c>
      <c r="I129">
        <v>0.74</v>
      </c>
      <c r="J129">
        <v>4.9000000000000004</v>
      </c>
      <c r="K129" s="51">
        <v>5.5609999999999999</v>
      </c>
      <c r="L129" s="60">
        <v>16.666666666666664</v>
      </c>
      <c r="M129" s="60">
        <f t="shared" si="2"/>
        <v>24.094842552110698</v>
      </c>
      <c r="N129" s="60">
        <v>47.916666666666671</v>
      </c>
      <c r="O129" s="60">
        <f t="shared" si="3"/>
        <v>43.805992268365614</v>
      </c>
      <c r="P129">
        <v>0.58030059351464003</v>
      </c>
      <c r="Q129">
        <v>3.1699343355305696</v>
      </c>
      <c r="R129">
        <v>3.2796570920958792</v>
      </c>
    </row>
    <row r="130" spans="1:18">
      <c r="A130">
        <v>4</v>
      </c>
      <c r="B130" t="s">
        <v>356</v>
      </c>
      <c r="C130" t="s">
        <v>320</v>
      </c>
      <c r="D130" t="s">
        <v>450</v>
      </c>
      <c r="E130" t="s">
        <v>332</v>
      </c>
      <c r="F130">
        <v>1.87</v>
      </c>
      <c r="G130">
        <v>2.4900000000000002</v>
      </c>
      <c r="H130">
        <v>94.2</v>
      </c>
      <c r="I130">
        <v>1.37</v>
      </c>
      <c r="J130">
        <v>4.28</v>
      </c>
      <c r="K130" s="51">
        <v>5.97</v>
      </c>
      <c r="L130" s="60">
        <v>18.75</v>
      </c>
      <c r="M130" s="60">
        <f t="shared" si="2"/>
        <v>25.658906273255283</v>
      </c>
      <c r="N130" s="60">
        <v>47.916666666666671</v>
      </c>
      <c r="O130" s="60">
        <f t="shared" si="3"/>
        <v>43.805992268365614</v>
      </c>
      <c r="P130">
        <v>0.51514916467987948</v>
      </c>
      <c r="Q130">
        <v>2.9347943248758819</v>
      </c>
      <c r="R130">
        <v>2.9158014512144361</v>
      </c>
    </row>
    <row r="131" spans="1:18">
      <c r="A131">
        <v>4</v>
      </c>
      <c r="B131" t="s">
        <v>357</v>
      </c>
      <c r="C131" t="s">
        <v>132</v>
      </c>
      <c r="D131" t="s">
        <v>450</v>
      </c>
      <c r="E131" t="s">
        <v>332</v>
      </c>
      <c r="F131">
        <v>1.29</v>
      </c>
      <c r="G131">
        <v>2.63</v>
      </c>
      <c r="H131">
        <v>106.8</v>
      </c>
      <c r="I131">
        <v>2.38</v>
      </c>
      <c r="J131">
        <v>4.79</v>
      </c>
      <c r="K131" s="51">
        <v>5.3419999999999996</v>
      </c>
      <c r="L131" s="60">
        <v>16.666666666666664</v>
      </c>
      <c r="M131" s="60">
        <f t="shared" ref="M131:M194" si="4">ASIN(SQRT(L131/100))*180/PI()</f>
        <v>24.094842552110698</v>
      </c>
      <c r="N131" s="60">
        <v>56.25</v>
      </c>
      <c r="O131" s="60">
        <f t="shared" ref="O131:O194" si="5">ASIN(SQRT(N131/100))*180/PI()</f>
        <v>48.590377890729144</v>
      </c>
      <c r="P131">
        <v>0.58014007154172953</v>
      </c>
      <c r="Q131">
        <v>2.8017144326250887</v>
      </c>
      <c r="R131">
        <v>3.295776346960567</v>
      </c>
    </row>
    <row r="132" spans="1:18">
      <c r="A132">
        <v>4</v>
      </c>
      <c r="B132" t="s">
        <v>357</v>
      </c>
      <c r="C132" t="s">
        <v>132</v>
      </c>
      <c r="D132" t="s">
        <v>450</v>
      </c>
      <c r="E132" t="s">
        <v>332</v>
      </c>
      <c r="F132">
        <v>1.26</v>
      </c>
      <c r="G132">
        <v>2.85</v>
      </c>
      <c r="H132">
        <v>123.7</v>
      </c>
      <c r="I132">
        <v>1.64</v>
      </c>
      <c r="J132">
        <v>5.03</v>
      </c>
      <c r="K132" s="51">
        <v>5.5179999999999998</v>
      </c>
      <c r="L132" s="60">
        <v>27.083333333333332</v>
      </c>
      <c r="M132" s="60">
        <f t="shared" si="4"/>
        <v>31.360193632010947</v>
      </c>
      <c r="N132" s="60">
        <v>58.333333333333336</v>
      </c>
      <c r="O132" s="60">
        <f t="shared" si="5"/>
        <v>49.797034113430229</v>
      </c>
      <c r="P132">
        <v>0.7175229728249245</v>
      </c>
      <c r="Q132">
        <v>3.1734924672125331</v>
      </c>
      <c r="R132">
        <v>3.7905467938304138</v>
      </c>
    </row>
    <row r="133" spans="1:18">
      <c r="A133">
        <v>4</v>
      </c>
      <c r="B133" t="s">
        <v>357</v>
      </c>
      <c r="C133" t="s">
        <v>132</v>
      </c>
      <c r="D133" t="s">
        <v>450</v>
      </c>
      <c r="E133" t="s">
        <v>332</v>
      </c>
      <c r="F133">
        <v>2.2799999999999998</v>
      </c>
      <c r="G133">
        <v>4.43</v>
      </c>
      <c r="H133">
        <v>103.7</v>
      </c>
      <c r="I133">
        <v>1.95</v>
      </c>
      <c r="J133">
        <v>4.8</v>
      </c>
      <c r="K133" s="51">
        <v>7.5060000000000002</v>
      </c>
      <c r="L133" s="60">
        <v>22.916666666666664</v>
      </c>
      <c r="M133" s="60">
        <f t="shared" si="4"/>
        <v>28.601415852088177</v>
      </c>
      <c r="N133" s="60">
        <v>70.833333333333343</v>
      </c>
      <c r="O133" s="60">
        <f t="shared" si="5"/>
        <v>57.312159176082048</v>
      </c>
      <c r="P133">
        <v>0.71423995694279963</v>
      </c>
      <c r="Q133">
        <v>3.3227641815748088</v>
      </c>
      <c r="R133">
        <v>3.6157238203386548</v>
      </c>
    </row>
    <row r="134" spans="1:18">
      <c r="A134">
        <v>4</v>
      </c>
      <c r="B134" t="s">
        <v>358</v>
      </c>
      <c r="C134" t="s">
        <v>136</v>
      </c>
      <c r="D134" t="s">
        <v>450</v>
      </c>
      <c r="E134" t="s">
        <v>332</v>
      </c>
      <c r="F134">
        <v>5.38</v>
      </c>
      <c r="G134">
        <v>4.59</v>
      </c>
      <c r="H134">
        <v>68.599999999999994</v>
      </c>
      <c r="I134">
        <v>1.6</v>
      </c>
      <c r="J134">
        <v>3.86</v>
      </c>
      <c r="K134" s="51">
        <v>13.981999999999999</v>
      </c>
      <c r="L134" s="60">
        <v>33.333333333333329</v>
      </c>
      <c r="M134" s="60">
        <f t="shared" si="4"/>
        <v>35.264389682754654</v>
      </c>
      <c r="N134" s="60">
        <v>75</v>
      </c>
      <c r="O134" s="60">
        <f t="shared" si="5"/>
        <v>59.999999999999993</v>
      </c>
      <c r="P134">
        <v>0.57875087340383158</v>
      </c>
      <c r="Q134">
        <v>4.6164384883645821</v>
      </c>
      <c r="R134">
        <v>2.7640702971006417</v>
      </c>
    </row>
    <row r="135" spans="1:18">
      <c r="A135">
        <v>4</v>
      </c>
      <c r="B135" t="s">
        <v>358</v>
      </c>
      <c r="C135" t="s">
        <v>136</v>
      </c>
      <c r="D135" t="s">
        <v>450</v>
      </c>
      <c r="E135" t="s">
        <v>332</v>
      </c>
      <c r="F135">
        <v>5.4</v>
      </c>
      <c r="G135">
        <v>4.8099999999999996</v>
      </c>
      <c r="H135">
        <v>82.6</v>
      </c>
      <c r="I135">
        <v>1.87</v>
      </c>
      <c r="J135">
        <v>4.51</v>
      </c>
      <c r="K135" s="51">
        <v>11.554</v>
      </c>
      <c r="L135" s="60">
        <v>39.583333333333329</v>
      </c>
      <c r="M135" s="60">
        <f t="shared" si="4"/>
        <v>38.987650409717091</v>
      </c>
      <c r="N135" s="60">
        <v>77.083333333333343</v>
      </c>
      <c r="O135" s="60">
        <f t="shared" si="5"/>
        <v>61.398584147911833</v>
      </c>
      <c r="P135">
        <v>0.58765471985865558</v>
      </c>
      <c r="Q135">
        <v>4.7875139722863</v>
      </c>
      <c r="R135">
        <v>3.0393735152284096</v>
      </c>
    </row>
    <row r="136" spans="1:18">
      <c r="A136">
        <v>4</v>
      </c>
      <c r="B136" t="s">
        <v>358</v>
      </c>
      <c r="C136" t="s">
        <v>136</v>
      </c>
      <c r="D136" t="s">
        <v>450</v>
      </c>
      <c r="E136" t="s">
        <v>332</v>
      </c>
      <c r="F136">
        <v>7.23</v>
      </c>
      <c r="G136">
        <v>5.88</v>
      </c>
      <c r="H136">
        <v>105.9</v>
      </c>
      <c r="I136">
        <v>2.19</v>
      </c>
      <c r="J136">
        <v>4.03</v>
      </c>
      <c r="K136" s="51">
        <v>11.1</v>
      </c>
      <c r="L136" s="60">
        <v>37.5</v>
      </c>
      <c r="M136" s="60">
        <f t="shared" si="4"/>
        <v>37.761243907035038</v>
      </c>
      <c r="N136" s="60">
        <v>81.25</v>
      </c>
      <c r="O136" s="60">
        <f t="shared" si="5"/>
        <v>64.341093726744717</v>
      </c>
      <c r="P136">
        <v>0.71871834921893607</v>
      </c>
      <c r="Q136">
        <v>5.3257637607594113</v>
      </c>
      <c r="R136">
        <v>3.7837961224350636</v>
      </c>
    </row>
    <row r="137" spans="1:18">
      <c r="A137">
        <v>4</v>
      </c>
      <c r="B137" t="s">
        <v>359</v>
      </c>
      <c r="C137" t="s">
        <v>321</v>
      </c>
      <c r="D137" t="s">
        <v>450</v>
      </c>
      <c r="E137" t="s">
        <v>332</v>
      </c>
      <c r="F137">
        <v>3.68</v>
      </c>
      <c r="G137">
        <v>3.45</v>
      </c>
      <c r="H137">
        <v>82.2</v>
      </c>
      <c r="I137">
        <v>2.35</v>
      </c>
      <c r="J137">
        <v>4.05</v>
      </c>
      <c r="K137" s="51">
        <v>9.8569999999999993</v>
      </c>
      <c r="L137" s="60">
        <v>35.416666666666671</v>
      </c>
      <c r="M137" s="60">
        <f t="shared" si="4"/>
        <v>36.521118349997934</v>
      </c>
      <c r="N137" s="60">
        <v>70.833333333333343</v>
      </c>
      <c r="O137" s="60">
        <f t="shared" si="5"/>
        <v>57.312159176082048</v>
      </c>
      <c r="P137">
        <v>0.37113704745160842</v>
      </c>
      <c r="Q137">
        <v>3.7182876586611546</v>
      </c>
      <c r="R137">
        <v>2.651669698139151</v>
      </c>
    </row>
    <row r="138" spans="1:18">
      <c r="A138">
        <v>4</v>
      </c>
      <c r="B138" t="s">
        <v>359</v>
      </c>
      <c r="C138" t="s">
        <v>321</v>
      </c>
      <c r="D138" t="s">
        <v>450</v>
      </c>
      <c r="E138" t="s">
        <v>332</v>
      </c>
      <c r="F138">
        <v>6.88</v>
      </c>
      <c r="G138">
        <v>5.78</v>
      </c>
      <c r="H138">
        <v>109.8</v>
      </c>
      <c r="I138">
        <v>1.98</v>
      </c>
      <c r="J138">
        <v>3.75</v>
      </c>
      <c r="K138" s="51">
        <v>11.234999999999999</v>
      </c>
      <c r="L138" s="60">
        <v>33.333333333333329</v>
      </c>
      <c r="M138" s="60">
        <f t="shared" si="4"/>
        <v>35.264389682754654</v>
      </c>
      <c r="N138" s="60">
        <v>79.166666666666657</v>
      </c>
      <c r="O138" s="60">
        <f t="shared" si="5"/>
        <v>62.842667356326004</v>
      </c>
      <c r="P138">
        <v>0.66435348465956812</v>
      </c>
      <c r="Q138">
        <v>5.3859620300441726</v>
      </c>
      <c r="R138">
        <v>3.8173297198815623</v>
      </c>
    </row>
    <row r="139" spans="1:18">
      <c r="A139">
        <v>4</v>
      </c>
      <c r="B139" t="s">
        <v>359</v>
      </c>
      <c r="C139" t="s">
        <v>321</v>
      </c>
      <c r="D139" t="s">
        <v>450</v>
      </c>
      <c r="E139" t="s">
        <v>332</v>
      </c>
      <c r="F139">
        <v>4.17</v>
      </c>
      <c r="G139">
        <v>4.2</v>
      </c>
      <c r="H139">
        <v>93.4</v>
      </c>
      <c r="I139">
        <v>1.84</v>
      </c>
      <c r="J139">
        <v>4.38</v>
      </c>
      <c r="K139" s="51">
        <v>8.1630000000000003</v>
      </c>
      <c r="L139" s="60">
        <v>35.416666666666671</v>
      </c>
      <c r="M139" s="60">
        <f t="shared" si="4"/>
        <v>36.521118349997934</v>
      </c>
      <c r="N139" s="60">
        <v>75</v>
      </c>
      <c r="O139" s="60">
        <f t="shared" si="5"/>
        <v>59.999999999999993</v>
      </c>
      <c r="P139">
        <v>0.54133644611154874</v>
      </c>
      <c r="Q139">
        <v>4.7182187837155949</v>
      </c>
      <c r="R139">
        <v>3.3749313828113272</v>
      </c>
    </row>
    <row r="140" spans="1:18">
      <c r="A140">
        <v>4</v>
      </c>
      <c r="B140" t="s">
        <v>360</v>
      </c>
      <c r="C140" t="s">
        <v>322</v>
      </c>
      <c r="D140" t="s">
        <v>450</v>
      </c>
      <c r="E140" t="s">
        <v>332</v>
      </c>
      <c r="F140">
        <v>2.42</v>
      </c>
      <c r="G140">
        <v>3.22</v>
      </c>
      <c r="H140">
        <v>91.3</v>
      </c>
      <c r="I140">
        <v>1.94</v>
      </c>
      <c r="J140">
        <v>4.07</v>
      </c>
      <c r="K140" s="51">
        <v>6.851</v>
      </c>
      <c r="L140" s="60">
        <v>31.25</v>
      </c>
      <c r="M140" s="60">
        <f t="shared" si="4"/>
        <v>33.987843581478927</v>
      </c>
      <c r="N140" s="60">
        <v>70.833333333333343</v>
      </c>
      <c r="O140" s="60">
        <f t="shared" si="5"/>
        <v>57.312159176082048</v>
      </c>
      <c r="P140">
        <v>0.39867510420851093</v>
      </c>
      <c r="Q140">
        <v>3.1187956045895739</v>
      </c>
      <c r="R140">
        <v>2.8377494801902872</v>
      </c>
    </row>
    <row r="141" spans="1:18">
      <c r="A141">
        <v>4</v>
      </c>
      <c r="B141" t="s">
        <v>360</v>
      </c>
      <c r="C141" t="s">
        <v>322</v>
      </c>
      <c r="D141" t="s">
        <v>450</v>
      </c>
      <c r="E141" t="s">
        <v>332</v>
      </c>
      <c r="F141">
        <v>2.21</v>
      </c>
      <c r="G141">
        <v>2.71</v>
      </c>
      <c r="H141">
        <v>74.8</v>
      </c>
      <c r="I141">
        <v>1.65</v>
      </c>
      <c r="J141">
        <v>4.37</v>
      </c>
      <c r="K141" s="51">
        <v>7.0890000000000004</v>
      </c>
      <c r="L141" s="60">
        <v>27.083333333333332</v>
      </c>
      <c r="M141" s="60">
        <f t="shared" si="4"/>
        <v>31.360193632010947</v>
      </c>
      <c r="N141" s="60">
        <v>72.916666666666657</v>
      </c>
      <c r="O141" s="60">
        <f t="shared" si="5"/>
        <v>58.639806367989038</v>
      </c>
      <c r="P141">
        <v>0.40972977433227425</v>
      </c>
      <c r="Q141">
        <v>3.3396918742337549</v>
      </c>
      <c r="R141">
        <v>2.5588949053818739</v>
      </c>
    </row>
    <row r="142" spans="1:18">
      <c r="A142">
        <v>4</v>
      </c>
      <c r="B142" t="s">
        <v>360</v>
      </c>
      <c r="C142" t="s">
        <v>322</v>
      </c>
      <c r="D142" t="s">
        <v>450</v>
      </c>
      <c r="E142" t="s">
        <v>332</v>
      </c>
      <c r="F142">
        <v>3.22</v>
      </c>
      <c r="G142">
        <v>3.16</v>
      </c>
      <c r="H142">
        <v>76.900000000000006</v>
      </c>
      <c r="I142">
        <v>1.54</v>
      </c>
      <c r="J142">
        <v>4.42</v>
      </c>
      <c r="K142" s="51">
        <v>8.2490000000000006</v>
      </c>
      <c r="L142" s="60">
        <v>25</v>
      </c>
      <c r="M142" s="60">
        <f t="shared" si="4"/>
        <v>30.000000000000004</v>
      </c>
      <c r="N142" s="60">
        <v>70.833333333333343</v>
      </c>
      <c r="O142" s="60">
        <f t="shared" si="5"/>
        <v>57.312159176082048</v>
      </c>
      <c r="P142">
        <v>0.3856975857709517</v>
      </c>
      <c r="Q142">
        <v>3.4568239885241465</v>
      </c>
      <c r="R142">
        <v>2.4539511953352853</v>
      </c>
    </row>
    <row r="143" spans="1:18">
      <c r="A143">
        <v>4</v>
      </c>
      <c r="B143" t="s">
        <v>361</v>
      </c>
      <c r="C143" t="s">
        <v>148</v>
      </c>
      <c r="D143" t="s">
        <v>450</v>
      </c>
      <c r="E143" t="s">
        <v>332</v>
      </c>
      <c r="F143">
        <v>0.4</v>
      </c>
      <c r="G143">
        <v>1.02</v>
      </c>
      <c r="H143">
        <v>110.1</v>
      </c>
      <c r="I143">
        <v>2.57</v>
      </c>
      <c r="J143">
        <v>5.32</v>
      </c>
      <c r="K143" s="51">
        <v>3.1480000000000001</v>
      </c>
      <c r="L143" s="60">
        <v>27.083333333333332</v>
      </c>
      <c r="M143" s="60">
        <f t="shared" si="4"/>
        <v>31.360193632010947</v>
      </c>
      <c r="N143" s="60">
        <v>68.75</v>
      </c>
      <c r="O143" s="60">
        <f t="shared" si="5"/>
        <v>56.01215641852108</v>
      </c>
      <c r="P143">
        <v>0.4077189804694904</v>
      </c>
      <c r="Q143">
        <v>3.0179898838025085</v>
      </c>
      <c r="R143">
        <v>3.1531598793830988</v>
      </c>
    </row>
    <row r="144" spans="1:18">
      <c r="A144">
        <v>4</v>
      </c>
      <c r="B144" t="s">
        <v>361</v>
      </c>
      <c r="C144" t="s">
        <v>148</v>
      </c>
      <c r="D144" t="s">
        <v>450</v>
      </c>
      <c r="E144" t="s">
        <v>332</v>
      </c>
      <c r="F144">
        <v>0.57999999999999996</v>
      </c>
      <c r="G144">
        <v>1.58</v>
      </c>
      <c r="H144">
        <v>123.6</v>
      </c>
      <c r="I144">
        <v>3.4</v>
      </c>
      <c r="J144">
        <v>4.78</v>
      </c>
      <c r="K144" s="51">
        <v>4.9950000000000001</v>
      </c>
      <c r="L144" s="60">
        <v>31.25</v>
      </c>
      <c r="M144" s="60">
        <f t="shared" si="4"/>
        <v>33.987843581478927</v>
      </c>
      <c r="N144" s="60">
        <v>68.75</v>
      </c>
      <c r="O144" s="60">
        <f t="shared" si="5"/>
        <v>56.01215641852108</v>
      </c>
      <c r="P144">
        <v>0.53702796805141828</v>
      </c>
      <c r="Q144">
        <v>3.5940195225088272</v>
      </c>
      <c r="R144">
        <v>3.6449827748835784</v>
      </c>
    </row>
    <row r="145" spans="1:18">
      <c r="A145">
        <v>4</v>
      </c>
      <c r="B145" t="s">
        <v>361</v>
      </c>
      <c r="C145" t="s">
        <v>148</v>
      </c>
      <c r="D145" t="s">
        <v>450</v>
      </c>
      <c r="E145" t="s">
        <v>332</v>
      </c>
      <c r="F145">
        <v>0.36</v>
      </c>
      <c r="G145">
        <v>1.42</v>
      </c>
      <c r="H145">
        <v>127.4</v>
      </c>
      <c r="I145">
        <v>3.49</v>
      </c>
      <c r="J145">
        <v>4.63</v>
      </c>
      <c r="K145" s="51">
        <v>4.1619999999999999</v>
      </c>
      <c r="L145" s="60">
        <v>33.333333333333329</v>
      </c>
      <c r="M145" s="60">
        <f t="shared" si="4"/>
        <v>35.264389682754654</v>
      </c>
      <c r="N145" s="60">
        <v>66.666666666666657</v>
      </c>
      <c r="O145" s="60">
        <f t="shared" si="5"/>
        <v>54.735610317245346</v>
      </c>
      <c r="P145">
        <v>0.48757097742974942</v>
      </c>
      <c r="Q145">
        <v>3.8491620753233975</v>
      </c>
      <c r="R145">
        <v>3.5295471474581541</v>
      </c>
    </row>
    <row r="146" spans="1:18">
      <c r="A146">
        <v>4</v>
      </c>
      <c r="B146" t="s">
        <v>362</v>
      </c>
      <c r="C146" t="s">
        <v>323</v>
      </c>
      <c r="D146" t="s">
        <v>450</v>
      </c>
      <c r="E146" t="s">
        <v>332</v>
      </c>
      <c r="F146">
        <v>0.28000000000000003</v>
      </c>
      <c r="G146">
        <v>0.86</v>
      </c>
      <c r="H146">
        <v>65.400000000000006</v>
      </c>
      <c r="I146">
        <v>1.58</v>
      </c>
      <c r="J146">
        <v>5.13</v>
      </c>
      <c r="K146" s="51">
        <v>3.7879999999999998</v>
      </c>
      <c r="L146" s="60">
        <v>25</v>
      </c>
      <c r="M146" s="60">
        <f t="shared" si="4"/>
        <v>30.000000000000004</v>
      </c>
      <c r="N146" s="60">
        <v>60.416666666666664</v>
      </c>
      <c r="O146" s="60">
        <f t="shared" si="5"/>
        <v>51.012349590282909</v>
      </c>
      <c r="P146">
        <v>0.21803067738575321</v>
      </c>
      <c r="Q146">
        <v>2.103882197909865</v>
      </c>
      <c r="R146">
        <v>1.6781157768284594</v>
      </c>
    </row>
    <row r="147" spans="1:18">
      <c r="A147">
        <v>4</v>
      </c>
      <c r="B147" t="s">
        <v>362</v>
      </c>
      <c r="C147" t="s">
        <v>323</v>
      </c>
      <c r="D147" t="s">
        <v>450</v>
      </c>
      <c r="E147" t="s">
        <v>332</v>
      </c>
      <c r="F147">
        <v>0.65</v>
      </c>
      <c r="G147">
        <v>1.27</v>
      </c>
      <c r="H147">
        <v>91.9</v>
      </c>
      <c r="I147">
        <v>2.13</v>
      </c>
      <c r="J147">
        <v>5.0199999999999996</v>
      </c>
      <c r="K147" s="51">
        <v>4.5839999999999996</v>
      </c>
      <c r="L147" s="60">
        <v>39.583333333333329</v>
      </c>
      <c r="M147" s="60">
        <f t="shared" si="4"/>
        <v>38.987650409717091</v>
      </c>
      <c r="N147" s="60">
        <v>64.583333333333343</v>
      </c>
      <c r="O147" s="60">
        <f t="shared" si="5"/>
        <v>53.478881650002094</v>
      </c>
      <c r="P147">
        <v>0.32215649970698146</v>
      </c>
      <c r="Q147">
        <v>2.4450286864356103</v>
      </c>
      <c r="R147">
        <v>2.3282594119688209</v>
      </c>
    </row>
    <row r="148" spans="1:18">
      <c r="A148">
        <v>4</v>
      </c>
      <c r="B148" t="s">
        <v>362</v>
      </c>
      <c r="C148" t="s">
        <v>323</v>
      </c>
      <c r="D148" t="s">
        <v>450</v>
      </c>
      <c r="E148" t="s">
        <v>332</v>
      </c>
      <c r="F148">
        <v>1.85</v>
      </c>
      <c r="G148">
        <v>2.77</v>
      </c>
      <c r="H148">
        <v>123.6</v>
      </c>
      <c r="I148">
        <v>2.7</v>
      </c>
      <c r="J148">
        <v>4.7300000000000004</v>
      </c>
      <c r="K148" s="51">
        <v>5.157</v>
      </c>
      <c r="L148" s="60">
        <v>29.166666666666668</v>
      </c>
      <c r="M148" s="60">
        <f t="shared" si="4"/>
        <v>32.687840823917959</v>
      </c>
      <c r="N148" s="60">
        <v>79.166666666666657</v>
      </c>
      <c r="O148" s="60">
        <f t="shared" si="5"/>
        <v>62.842667356326004</v>
      </c>
      <c r="P148">
        <v>0.47383183346114854</v>
      </c>
      <c r="Q148">
        <v>3.8147587921958568</v>
      </c>
      <c r="R148">
        <v>3.3071270333775282</v>
      </c>
    </row>
    <row r="149" spans="1:18">
      <c r="A149">
        <v>4</v>
      </c>
      <c r="B149" t="s">
        <v>374</v>
      </c>
      <c r="C149" t="s">
        <v>375</v>
      </c>
      <c r="D149" t="s">
        <v>450</v>
      </c>
      <c r="E149" t="s">
        <v>332</v>
      </c>
      <c r="F149">
        <v>4.37</v>
      </c>
      <c r="G149">
        <v>4.03</v>
      </c>
      <c r="H149">
        <v>118.7</v>
      </c>
      <c r="I149">
        <v>1.37</v>
      </c>
      <c r="J149">
        <v>4.25</v>
      </c>
      <c r="K149" s="51">
        <v>9.5289999999999999</v>
      </c>
      <c r="L149" s="60">
        <v>25</v>
      </c>
      <c r="M149" s="60">
        <f t="shared" si="4"/>
        <v>30.000000000000004</v>
      </c>
      <c r="N149" s="60">
        <v>66.666666666666657</v>
      </c>
      <c r="O149" s="60">
        <f t="shared" si="5"/>
        <v>54.735610317245346</v>
      </c>
      <c r="P149">
        <v>0.47160331032659825</v>
      </c>
      <c r="Q149">
        <v>4.4777268901678209</v>
      </c>
      <c r="R149">
        <v>3.4992672712120054</v>
      </c>
    </row>
    <row r="150" spans="1:18">
      <c r="A150">
        <v>4</v>
      </c>
      <c r="B150" t="s">
        <v>374</v>
      </c>
      <c r="C150" t="s">
        <v>375</v>
      </c>
      <c r="D150" t="s">
        <v>450</v>
      </c>
      <c r="E150" t="s">
        <v>332</v>
      </c>
      <c r="F150">
        <v>6.11</v>
      </c>
      <c r="G150">
        <v>5.39</v>
      </c>
      <c r="H150">
        <v>111.7</v>
      </c>
      <c r="I150">
        <v>1.96</v>
      </c>
      <c r="J150">
        <v>4.16</v>
      </c>
      <c r="K150" s="51">
        <v>12.552</v>
      </c>
      <c r="L150" s="60">
        <v>27.083333333333332</v>
      </c>
      <c r="M150" s="60">
        <f t="shared" si="4"/>
        <v>31.360193632010947</v>
      </c>
      <c r="N150" s="60">
        <v>66.666666666666657</v>
      </c>
      <c r="O150" s="60">
        <f t="shared" si="5"/>
        <v>54.735610317245346</v>
      </c>
      <c r="P150">
        <v>0.69646556380412805</v>
      </c>
      <c r="Q150">
        <v>5.3502739105326</v>
      </c>
      <c r="R150">
        <v>3.9287093971418279</v>
      </c>
    </row>
    <row r="151" spans="1:18">
      <c r="A151">
        <v>4</v>
      </c>
      <c r="B151" t="s">
        <v>374</v>
      </c>
      <c r="C151" t="s">
        <v>375</v>
      </c>
      <c r="D151" t="s">
        <v>450</v>
      </c>
      <c r="E151" t="s">
        <v>332</v>
      </c>
      <c r="F151">
        <v>6.25</v>
      </c>
      <c r="G151">
        <v>5.43</v>
      </c>
      <c r="H151">
        <v>108.4</v>
      </c>
      <c r="I151">
        <v>1.91</v>
      </c>
      <c r="J151">
        <v>3.96</v>
      </c>
      <c r="K151" s="51">
        <v>11.897</v>
      </c>
      <c r="L151" s="60">
        <v>29.166666666666668</v>
      </c>
      <c r="M151" s="60">
        <f t="shared" si="4"/>
        <v>32.687840823917959</v>
      </c>
      <c r="N151" s="60">
        <v>75</v>
      </c>
      <c r="O151" s="60">
        <f t="shared" si="5"/>
        <v>59.999999999999993</v>
      </c>
      <c r="P151">
        <v>0.67391393429081692</v>
      </c>
      <c r="Q151">
        <v>4.3496261394152453</v>
      </c>
      <c r="R151">
        <v>4.7315336329101862</v>
      </c>
    </row>
    <row r="152" spans="1:18">
      <c r="A152">
        <v>4</v>
      </c>
      <c r="B152" t="s">
        <v>363</v>
      </c>
      <c r="C152" t="s">
        <v>160</v>
      </c>
      <c r="D152" t="s">
        <v>450</v>
      </c>
      <c r="E152" t="s">
        <v>332</v>
      </c>
      <c r="F152">
        <v>3.42</v>
      </c>
      <c r="G152">
        <v>4.76</v>
      </c>
      <c r="H152">
        <v>154</v>
      </c>
      <c r="I152">
        <v>2.42</v>
      </c>
      <c r="J152">
        <v>4.51</v>
      </c>
      <c r="K152" s="51">
        <v>6.806</v>
      </c>
      <c r="L152" s="60">
        <v>18.75</v>
      </c>
      <c r="M152" s="60">
        <f t="shared" si="4"/>
        <v>25.658906273255283</v>
      </c>
      <c r="N152" s="60">
        <v>68.75</v>
      </c>
      <c r="O152" s="60">
        <f t="shared" si="5"/>
        <v>56.01215641852108</v>
      </c>
      <c r="P152">
        <v>0.64218608327290361</v>
      </c>
      <c r="Q152">
        <v>5.3783587464050022</v>
      </c>
      <c r="R152">
        <v>4.1660944951563952</v>
      </c>
    </row>
    <row r="153" spans="1:18">
      <c r="A153">
        <v>4</v>
      </c>
      <c r="B153" t="s">
        <v>363</v>
      </c>
      <c r="C153" t="s">
        <v>160</v>
      </c>
      <c r="D153" t="s">
        <v>450</v>
      </c>
      <c r="E153" t="s">
        <v>332</v>
      </c>
      <c r="F153">
        <v>7.01</v>
      </c>
      <c r="G153">
        <v>5.69</v>
      </c>
      <c r="H153">
        <v>123.3</v>
      </c>
      <c r="I153">
        <v>2.0299999999999998</v>
      </c>
      <c r="J153">
        <v>3.9</v>
      </c>
      <c r="K153" s="51">
        <v>7.3070000000000004</v>
      </c>
      <c r="L153" s="60">
        <v>20.833333333333336</v>
      </c>
      <c r="M153" s="60">
        <f t="shared" si="4"/>
        <v>27.157332643673978</v>
      </c>
      <c r="N153" s="60">
        <v>62.5</v>
      </c>
      <c r="O153" s="60">
        <f t="shared" si="5"/>
        <v>52.238756092964962</v>
      </c>
      <c r="P153">
        <v>1.0793967070632242</v>
      </c>
      <c r="Q153">
        <v>8.3163817166582135</v>
      </c>
      <c r="R153">
        <v>5.5883749745735454</v>
      </c>
    </row>
    <row r="154" spans="1:18">
      <c r="A154">
        <v>4</v>
      </c>
      <c r="B154" t="s">
        <v>363</v>
      </c>
      <c r="C154" t="s">
        <v>160</v>
      </c>
      <c r="D154" t="s">
        <v>450</v>
      </c>
      <c r="E154" t="s">
        <v>332</v>
      </c>
      <c r="F154">
        <v>9.36</v>
      </c>
      <c r="G154">
        <v>7.8</v>
      </c>
      <c r="H154">
        <v>171</v>
      </c>
      <c r="I154">
        <v>1.95</v>
      </c>
      <c r="J154">
        <v>4.28</v>
      </c>
      <c r="K154" s="51">
        <v>8.907</v>
      </c>
      <c r="L154" s="60">
        <v>18.75</v>
      </c>
      <c r="M154" s="60">
        <f t="shared" si="4"/>
        <v>25.658906273255283</v>
      </c>
      <c r="N154" s="60">
        <v>56.25</v>
      </c>
      <c r="O154" s="60">
        <f t="shared" si="5"/>
        <v>48.590377890729144</v>
      </c>
      <c r="P154">
        <v>0.41858836725218196</v>
      </c>
      <c r="Q154">
        <v>2.6198759074231708</v>
      </c>
      <c r="R154">
        <v>3.3388854858806232</v>
      </c>
    </row>
    <row r="155" spans="1:18">
      <c r="A155">
        <v>4</v>
      </c>
      <c r="B155" t="s">
        <v>56</v>
      </c>
      <c r="C155" t="s">
        <v>320</v>
      </c>
      <c r="D155" t="s">
        <v>451</v>
      </c>
      <c r="E155" t="s">
        <v>333</v>
      </c>
      <c r="F155">
        <v>0.85</v>
      </c>
      <c r="G155">
        <v>1.29</v>
      </c>
      <c r="H155">
        <v>125.1</v>
      </c>
      <c r="I155">
        <v>1.1599999999999999</v>
      </c>
      <c r="K155" s="51"/>
      <c r="L155" s="60">
        <v>2.083333333333333</v>
      </c>
      <c r="M155" s="60">
        <f t="shared" si="4"/>
        <v>8.2989210679332803</v>
      </c>
      <c r="N155" s="60">
        <v>43.75</v>
      </c>
      <c r="O155" s="60">
        <f t="shared" si="5"/>
        <v>41.409622109270863</v>
      </c>
      <c r="P155">
        <v>0.4627028792329001</v>
      </c>
      <c r="Q155">
        <v>2.965804486480506</v>
      </c>
      <c r="R155">
        <v>3.3772303235282961</v>
      </c>
    </row>
    <row r="156" spans="1:18">
      <c r="A156">
        <v>4</v>
      </c>
      <c r="B156" t="s">
        <v>56</v>
      </c>
      <c r="C156" t="s">
        <v>320</v>
      </c>
      <c r="D156" t="s">
        <v>451</v>
      </c>
      <c r="E156" t="s">
        <v>333</v>
      </c>
      <c r="F156">
        <v>0.76</v>
      </c>
      <c r="G156">
        <v>1.1200000000000001</v>
      </c>
      <c r="H156">
        <v>141.19999999999999</v>
      </c>
      <c r="I156">
        <v>1</v>
      </c>
      <c r="J156">
        <v>4.2</v>
      </c>
      <c r="K156" s="51">
        <v>3.26</v>
      </c>
      <c r="L156" s="60">
        <v>4.1666666666666661</v>
      </c>
      <c r="M156" s="60">
        <f t="shared" si="4"/>
        <v>11.778232154550613</v>
      </c>
      <c r="N156" s="60">
        <v>31.25</v>
      </c>
      <c r="O156" s="60">
        <f t="shared" si="5"/>
        <v>33.987843581478927</v>
      </c>
      <c r="P156">
        <v>0.59719211580230558</v>
      </c>
      <c r="Q156">
        <v>2.821761297902126</v>
      </c>
      <c r="R156">
        <v>4.0929775124184173</v>
      </c>
    </row>
    <row r="157" spans="1:18">
      <c r="A157">
        <v>4</v>
      </c>
      <c r="B157" t="s">
        <v>56</v>
      </c>
      <c r="C157" t="s">
        <v>320</v>
      </c>
      <c r="D157" t="s">
        <v>451</v>
      </c>
      <c r="E157" t="s">
        <v>333</v>
      </c>
      <c r="F157">
        <v>0.9</v>
      </c>
      <c r="G157">
        <v>1.45</v>
      </c>
      <c r="H157">
        <v>154.30000000000001</v>
      </c>
      <c r="I157">
        <v>1.27</v>
      </c>
      <c r="J157">
        <v>4.95</v>
      </c>
      <c r="K157" s="51">
        <v>3.702</v>
      </c>
      <c r="L157" s="60">
        <v>6.25</v>
      </c>
      <c r="M157" s="60">
        <f t="shared" si="4"/>
        <v>14.477512185929923</v>
      </c>
      <c r="N157" s="60">
        <v>31.25</v>
      </c>
      <c r="O157" s="60">
        <f t="shared" si="5"/>
        <v>33.987843581478927</v>
      </c>
      <c r="P157" t="e">
        <v>#VALUE!</v>
      </c>
      <c r="Q157" t="e">
        <v>#VALUE!</v>
      </c>
      <c r="R157" t="e">
        <v>#VALUE!</v>
      </c>
    </row>
    <row r="158" spans="1:18">
      <c r="A158">
        <v>4</v>
      </c>
      <c r="B158" t="s">
        <v>60</v>
      </c>
      <c r="C158" t="s">
        <v>132</v>
      </c>
      <c r="D158" t="s">
        <v>451</v>
      </c>
      <c r="E158" t="s">
        <v>333</v>
      </c>
      <c r="F158">
        <v>0.43</v>
      </c>
      <c r="G158">
        <v>3.55</v>
      </c>
      <c r="H158">
        <v>139.30000000000001</v>
      </c>
      <c r="I158">
        <v>0.97</v>
      </c>
      <c r="J158">
        <v>4.3600000000000003</v>
      </c>
      <c r="K158" s="51">
        <v>4.9139999999999997</v>
      </c>
      <c r="L158" s="60">
        <v>12.5</v>
      </c>
      <c r="M158" s="60">
        <f t="shared" si="4"/>
        <v>20.704811054635432</v>
      </c>
      <c r="N158" s="60">
        <v>33.333333333333329</v>
      </c>
      <c r="O158" s="60">
        <f t="shared" si="5"/>
        <v>35.264389682754654</v>
      </c>
      <c r="P158">
        <v>0.65979653907753943</v>
      </c>
      <c r="Q158">
        <v>2.5631028004689083</v>
      </c>
      <c r="R158">
        <v>3.954344453025247</v>
      </c>
    </row>
    <row r="159" spans="1:18">
      <c r="A159">
        <v>4</v>
      </c>
      <c r="B159" t="s">
        <v>60</v>
      </c>
      <c r="C159" t="s">
        <v>132</v>
      </c>
      <c r="D159" t="s">
        <v>451</v>
      </c>
      <c r="E159" t="s">
        <v>333</v>
      </c>
      <c r="F159">
        <v>0.9</v>
      </c>
      <c r="G159">
        <v>3.68</v>
      </c>
      <c r="H159">
        <v>115.4</v>
      </c>
      <c r="I159">
        <v>0.65</v>
      </c>
      <c r="J159">
        <v>4.18</v>
      </c>
      <c r="K159" s="51">
        <v>3.9609999999999999</v>
      </c>
      <c r="L159" s="60">
        <v>14.583333333333334</v>
      </c>
      <c r="M159" s="60">
        <f t="shared" si="4"/>
        <v>22.450263980344491</v>
      </c>
      <c r="N159" s="60">
        <v>56.25</v>
      </c>
      <c r="O159" s="60">
        <f t="shared" si="5"/>
        <v>48.590377890729144</v>
      </c>
      <c r="P159">
        <v>0.48399680201165463</v>
      </c>
      <c r="Q159">
        <v>2.5991460389311798</v>
      </c>
      <c r="R159">
        <v>3.1654482775820627</v>
      </c>
    </row>
    <row r="160" spans="1:18">
      <c r="A160">
        <v>4</v>
      </c>
      <c r="B160" t="s">
        <v>60</v>
      </c>
      <c r="C160" t="s">
        <v>132</v>
      </c>
      <c r="D160" t="s">
        <v>451</v>
      </c>
      <c r="E160" t="s">
        <v>333</v>
      </c>
      <c r="F160">
        <v>0.32</v>
      </c>
      <c r="G160">
        <v>2.99</v>
      </c>
      <c r="H160">
        <v>115.9</v>
      </c>
      <c r="I160">
        <v>0.82</v>
      </c>
      <c r="J160">
        <v>5.18</v>
      </c>
      <c r="K160" s="51">
        <v>3.722</v>
      </c>
      <c r="L160" s="60">
        <v>12.5</v>
      </c>
      <c r="M160" s="60">
        <f t="shared" si="4"/>
        <v>20.704811054635432</v>
      </c>
      <c r="N160" s="60">
        <v>39.583333333333329</v>
      </c>
      <c r="O160" s="60">
        <f t="shared" si="5"/>
        <v>38.987650409717091</v>
      </c>
      <c r="P160">
        <v>0.53241039980940752</v>
      </c>
      <c r="Q160">
        <v>2.6501672869110422</v>
      </c>
      <c r="R160">
        <v>3.1749022045582942</v>
      </c>
    </row>
    <row r="161" spans="1:18">
      <c r="A161">
        <v>4</v>
      </c>
      <c r="B161" t="s">
        <v>64</v>
      </c>
      <c r="C161" t="s">
        <v>136</v>
      </c>
      <c r="D161" t="s">
        <v>451</v>
      </c>
      <c r="E161" t="s">
        <v>333</v>
      </c>
      <c r="F161">
        <v>6.65</v>
      </c>
      <c r="G161">
        <v>7.49</v>
      </c>
      <c r="H161">
        <v>117.3</v>
      </c>
      <c r="I161">
        <v>1.4</v>
      </c>
      <c r="J161">
        <v>4.2699999999999996</v>
      </c>
      <c r="K161" s="51">
        <v>11.186</v>
      </c>
      <c r="L161" s="60">
        <v>29.166666666666668</v>
      </c>
      <c r="M161" s="60">
        <f t="shared" si="4"/>
        <v>32.687840823917959</v>
      </c>
      <c r="N161" s="60">
        <v>54.166666666666664</v>
      </c>
      <c r="O161" s="60">
        <f t="shared" si="5"/>
        <v>47.390095923599581</v>
      </c>
      <c r="P161">
        <v>0.88354709250863839</v>
      </c>
      <c r="Q161">
        <v>5.130291871931421</v>
      </c>
      <c r="R161">
        <v>4.2691915850725559</v>
      </c>
    </row>
    <row r="162" spans="1:18">
      <c r="A162">
        <v>4</v>
      </c>
      <c r="B162" t="s">
        <v>64</v>
      </c>
      <c r="C162" t="s">
        <v>136</v>
      </c>
      <c r="D162" t="s">
        <v>451</v>
      </c>
      <c r="E162" t="s">
        <v>333</v>
      </c>
      <c r="F162">
        <v>1.22</v>
      </c>
      <c r="G162">
        <v>3.86</v>
      </c>
      <c r="H162">
        <v>90.2</v>
      </c>
      <c r="I162">
        <v>0.49</v>
      </c>
      <c r="J162">
        <v>4.29</v>
      </c>
      <c r="K162" s="51">
        <v>4.4829999999999997</v>
      </c>
      <c r="L162" s="60">
        <v>35.416666666666671</v>
      </c>
      <c r="M162" s="60">
        <f t="shared" si="4"/>
        <v>36.521118349997934</v>
      </c>
      <c r="N162" s="60">
        <v>68.75</v>
      </c>
      <c r="O162" s="60">
        <f t="shared" si="5"/>
        <v>56.01215641852108</v>
      </c>
      <c r="P162">
        <v>0.59051081560006191</v>
      </c>
      <c r="Q162">
        <v>3.4538981287784649</v>
      </c>
      <c r="R162">
        <v>3.1984260754399116</v>
      </c>
    </row>
    <row r="163" spans="1:18">
      <c r="A163">
        <v>4</v>
      </c>
      <c r="B163" t="s">
        <v>64</v>
      </c>
      <c r="C163" t="s">
        <v>136</v>
      </c>
      <c r="D163" t="s">
        <v>451</v>
      </c>
      <c r="E163" t="s">
        <v>333</v>
      </c>
      <c r="F163">
        <v>2.23</v>
      </c>
      <c r="G163">
        <v>4.57</v>
      </c>
      <c r="H163">
        <v>60.5</v>
      </c>
      <c r="I163">
        <v>0.66</v>
      </c>
      <c r="J163">
        <v>4.0199999999999996</v>
      </c>
      <c r="K163" s="51">
        <v>7.6369999999999996</v>
      </c>
      <c r="L163" s="60">
        <v>33.333333333333329</v>
      </c>
      <c r="M163" s="60">
        <f t="shared" si="4"/>
        <v>35.264389682754654</v>
      </c>
      <c r="N163" s="60">
        <v>75</v>
      </c>
      <c r="O163" s="60">
        <f t="shared" si="5"/>
        <v>59.999999999999993</v>
      </c>
      <c r="P163">
        <v>0.37614055150082859</v>
      </c>
      <c r="Q163">
        <v>2.7101727773368522</v>
      </c>
      <c r="R163">
        <v>2.2124056013596141</v>
      </c>
    </row>
    <row r="164" spans="1:18">
      <c r="A164">
        <v>4</v>
      </c>
      <c r="B164" t="s">
        <v>68</v>
      </c>
      <c r="C164" t="s">
        <v>321</v>
      </c>
      <c r="D164" t="s">
        <v>451</v>
      </c>
      <c r="E164" t="s">
        <v>333</v>
      </c>
      <c r="F164">
        <v>1.05</v>
      </c>
      <c r="G164">
        <v>4.1900000000000004</v>
      </c>
      <c r="H164">
        <v>93</v>
      </c>
      <c r="I164">
        <v>0.91</v>
      </c>
      <c r="J164">
        <v>4.21</v>
      </c>
      <c r="K164" s="51">
        <v>5.6280000000000001</v>
      </c>
      <c r="L164" s="60">
        <v>31.25</v>
      </c>
      <c r="M164" s="60">
        <f t="shared" si="4"/>
        <v>33.987843581478927</v>
      </c>
      <c r="N164" s="60">
        <v>64.583333333333343</v>
      </c>
      <c r="O164" s="60">
        <f t="shared" si="5"/>
        <v>53.478881650002094</v>
      </c>
      <c r="P164">
        <v>0.45816557197734453</v>
      </c>
      <c r="Q164">
        <v>2.5836991655959749</v>
      </c>
      <c r="R164">
        <v>2.7538536125315405</v>
      </c>
    </row>
    <row r="165" spans="1:18">
      <c r="A165">
        <v>4</v>
      </c>
      <c r="B165" t="s">
        <v>68</v>
      </c>
      <c r="C165" t="s">
        <v>321</v>
      </c>
      <c r="D165" t="s">
        <v>451</v>
      </c>
      <c r="E165" t="s">
        <v>333</v>
      </c>
      <c r="F165">
        <v>1.96</v>
      </c>
      <c r="G165">
        <v>4.29</v>
      </c>
      <c r="H165">
        <v>76.400000000000006</v>
      </c>
      <c r="I165">
        <v>0.95</v>
      </c>
      <c r="J165">
        <v>3.85</v>
      </c>
      <c r="K165" s="51">
        <v>7.7480000000000002</v>
      </c>
      <c r="L165" s="60">
        <v>39.583333333333329</v>
      </c>
      <c r="M165" s="60">
        <f t="shared" si="4"/>
        <v>38.987650409717091</v>
      </c>
      <c r="N165" s="60">
        <v>68.75</v>
      </c>
      <c r="O165" s="60">
        <f t="shared" si="5"/>
        <v>56.01215641852108</v>
      </c>
      <c r="P165">
        <v>0.37761513366687011</v>
      </c>
      <c r="Q165">
        <v>2.8109806341777568</v>
      </c>
      <c r="R165">
        <v>2.2643467264494088</v>
      </c>
    </row>
    <row r="166" spans="1:18">
      <c r="A166">
        <v>4</v>
      </c>
      <c r="B166" t="s">
        <v>68</v>
      </c>
      <c r="C166" t="s">
        <v>321</v>
      </c>
      <c r="D166" t="s">
        <v>451</v>
      </c>
      <c r="E166" t="s">
        <v>333</v>
      </c>
      <c r="F166">
        <v>2.02</v>
      </c>
      <c r="G166">
        <v>4.54</v>
      </c>
      <c r="H166">
        <v>99.4</v>
      </c>
      <c r="I166">
        <v>1.46</v>
      </c>
      <c r="J166">
        <v>4.1500000000000004</v>
      </c>
      <c r="K166" s="51">
        <v>6.5110000000000001</v>
      </c>
      <c r="L166" s="60">
        <v>29.166666666666668</v>
      </c>
      <c r="M166" s="60">
        <f t="shared" si="4"/>
        <v>32.687840823917959</v>
      </c>
      <c r="N166" s="60">
        <v>62.5</v>
      </c>
      <c r="O166" s="60">
        <f t="shared" si="5"/>
        <v>52.238756092964962</v>
      </c>
      <c r="P166">
        <v>0.46975474611728735</v>
      </c>
      <c r="Q166">
        <v>2.9579443423672207</v>
      </c>
      <c r="R166">
        <v>2.7256091789248242</v>
      </c>
    </row>
    <row r="167" spans="1:18">
      <c r="A167">
        <v>4</v>
      </c>
      <c r="B167" t="s">
        <v>72</v>
      </c>
      <c r="C167" t="s">
        <v>322</v>
      </c>
      <c r="D167" t="s">
        <v>451</v>
      </c>
      <c r="E167" t="s">
        <v>333</v>
      </c>
      <c r="F167">
        <v>0.85</v>
      </c>
      <c r="G167">
        <v>3.8</v>
      </c>
      <c r="H167">
        <v>123.9</v>
      </c>
      <c r="I167">
        <v>1.48</v>
      </c>
      <c r="J167">
        <v>4.26</v>
      </c>
      <c r="K167" s="51">
        <v>4.3819999999999997</v>
      </c>
      <c r="L167" s="60">
        <v>20.833333333333336</v>
      </c>
      <c r="M167" s="60">
        <f t="shared" si="4"/>
        <v>27.157332643673978</v>
      </c>
      <c r="N167" s="60">
        <v>47.916666666666671</v>
      </c>
      <c r="O167" s="60">
        <f t="shared" si="5"/>
        <v>43.805992268365614</v>
      </c>
      <c r="P167">
        <v>0.48269725710330774</v>
      </c>
      <c r="Q167">
        <v>2.6624148856092003</v>
      </c>
      <c r="R167">
        <v>3.2343290219965675</v>
      </c>
    </row>
    <row r="168" spans="1:18">
      <c r="A168">
        <v>4</v>
      </c>
      <c r="B168" t="s">
        <v>72</v>
      </c>
      <c r="C168" t="s">
        <v>322</v>
      </c>
      <c r="D168" t="s">
        <v>451</v>
      </c>
      <c r="E168" t="s">
        <v>333</v>
      </c>
      <c r="F168">
        <v>1.7</v>
      </c>
      <c r="G168">
        <v>4.3899999999999997</v>
      </c>
      <c r="H168">
        <v>97</v>
      </c>
      <c r="I168">
        <v>1.66</v>
      </c>
      <c r="J168">
        <v>4.09</v>
      </c>
      <c r="K168" s="51">
        <v>5.9349999999999996</v>
      </c>
      <c r="L168" s="60">
        <v>27.083333333333332</v>
      </c>
      <c r="M168" s="60">
        <f t="shared" si="4"/>
        <v>31.360193632010947</v>
      </c>
      <c r="N168" s="60">
        <v>56.25</v>
      </c>
      <c r="O168" s="60">
        <f t="shared" si="5"/>
        <v>48.590377890729144</v>
      </c>
      <c r="P168">
        <v>0.45575518086284816</v>
      </c>
      <c r="Q168">
        <v>2.7928626255171456</v>
      </c>
      <c r="R168">
        <v>2.9743353622118267</v>
      </c>
    </row>
    <row r="169" spans="1:18">
      <c r="A169">
        <v>4</v>
      </c>
      <c r="B169" t="s">
        <v>72</v>
      </c>
      <c r="C169" t="s">
        <v>322</v>
      </c>
      <c r="D169" t="s">
        <v>451</v>
      </c>
      <c r="E169" t="s">
        <v>333</v>
      </c>
      <c r="F169">
        <v>1.36</v>
      </c>
      <c r="G169">
        <v>4.13</v>
      </c>
      <c r="H169">
        <v>103.5</v>
      </c>
      <c r="I169">
        <v>1.98</v>
      </c>
      <c r="J169">
        <v>4.07</v>
      </c>
      <c r="K169" s="51">
        <v>4.4859999999999998</v>
      </c>
      <c r="L169" s="60">
        <v>27.083333333333332</v>
      </c>
      <c r="M169" s="60">
        <f t="shared" si="4"/>
        <v>31.360193632010947</v>
      </c>
      <c r="N169" s="60">
        <v>50</v>
      </c>
      <c r="O169" s="60">
        <f t="shared" si="5"/>
        <v>45.000000000000007</v>
      </c>
      <c r="P169">
        <v>0.55112572493822265</v>
      </c>
      <c r="Q169">
        <v>2.780632115249698</v>
      </c>
      <c r="R169">
        <v>3.194078890557476</v>
      </c>
    </row>
    <row r="170" spans="1:18">
      <c r="A170">
        <v>4</v>
      </c>
      <c r="B170" t="s">
        <v>76</v>
      </c>
      <c r="C170" t="s">
        <v>148</v>
      </c>
      <c r="D170" t="s">
        <v>451</v>
      </c>
      <c r="E170" t="s">
        <v>333</v>
      </c>
      <c r="F170">
        <v>0.19</v>
      </c>
      <c r="G170">
        <v>2.92</v>
      </c>
      <c r="H170">
        <v>136.9</v>
      </c>
      <c r="I170">
        <v>2.34</v>
      </c>
      <c r="J170">
        <v>4.29</v>
      </c>
      <c r="K170" s="51">
        <v>2.35</v>
      </c>
      <c r="L170" s="60">
        <v>29.166666666666668</v>
      </c>
      <c r="M170" s="60">
        <f t="shared" si="4"/>
        <v>32.687840823917959</v>
      </c>
      <c r="N170" s="60">
        <v>54.166666666666664</v>
      </c>
      <c r="O170" s="60">
        <f t="shared" si="5"/>
        <v>47.390095923599581</v>
      </c>
      <c r="P170">
        <v>0.56071349745847743</v>
      </c>
      <c r="Q170">
        <v>3.3057403664931178</v>
      </c>
      <c r="R170">
        <v>3.8517658249134703</v>
      </c>
    </row>
    <row r="171" spans="1:18">
      <c r="A171">
        <v>4</v>
      </c>
      <c r="B171" t="s">
        <v>76</v>
      </c>
      <c r="C171" t="s">
        <v>148</v>
      </c>
      <c r="D171" t="s">
        <v>451</v>
      </c>
      <c r="E171" t="s">
        <v>333</v>
      </c>
      <c r="F171">
        <v>0.4</v>
      </c>
      <c r="G171">
        <v>3.04</v>
      </c>
      <c r="H171">
        <v>128.6</v>
      </c>
      <c r="I171">
        <v>1.58</v>
      </c>
      <c r="J171">
        <v>4.42</v>
      </c>
      <c r="K171" s="51">
        <v>2.6429999999999998</v>
      </c>
      <c r="L171" s="60">
        <v>31.25</v>
      </c>
      <c r="M171" s="60">
        <f t="shared" si="4"/>
        <v>33.987843581478927</v>
      </c>
      <c r="N171" s="60">
        <v>54.166666666666664</v>
      </c>
      <c r="O171" s="60">
        <f t="shared" si="5"/>
        <v>47.390095923599581</v>
      </c>
      <c r="P171">
        <v>0.48823611900898878</v>
      </c>
      <c r="Q171">
        <v>2.5331158086530645</v>
      </c>
      <c r="R171">
        <v>3.6358339509444946</v>
      </c>
    </row>
    <row r="172" spans="1:18">
      <c r="A172">
        <v>4</v>
      </c>
      <c r="B172" t="s">
        <v>76</v>
      </c>
      <c r="C172" t="s">
        <v>148</v>
      </c>
      <c r="D172" t="s">
        <v>451</v>
      </c>
      <c r="E172" t="s">
        <v>333</v>
      </c>
      <c r="F172">
        <v>0.43</v>
      </c>
      <c r="G172">
        <v>3.27</v>
      </c>
      <c r="H172">
        <v>144.19999999999999</v>
      </c>
      <c r="I172">
        <v>1.7</v>
      </c>
      <c r="J172">
        <v>4.43</v>
      </c>
      <c r="K172" s="51">
        <v>2.8130000000000002</v>
      </c>
      <c r="L172" s="60">
        <v>27.083333333333332</v>
      </c>
      <c r="M172" s="60">
        <f t="shared" si="4"/>
        <v>31.360193632010947</v>
      </c>
      <c r="N172" s="60">
        <v>47.916666666666671</v>
      </c>
      <c r="O172" s="60">
        <f t="shared" si="5"/>
        <v>43.805992268365614</v>
      </c>
      <c r="P172">
        <v>0.61403496919392953</v>
      </c>
      <c r="Q172">
        <v>3.0826824103640815</v>
      </c>
      <c r="R172">
        <v>4.1960233962304399</v>
      </c>
    </row>
    <row r="173" spans="1:18">
      <c r="A173">
        <v>4</v>
      </c>
      <c r="B173" t="s">
        <v>80</v>
      </c>
      <c r="C173" t="s">
        <v>323</v>
      </c>
      <c r="D173" t="s">
        <v>451</v>
      </c>
      <c r="E173" t="s">
        <v>333</v>
      </c>
      <c r="F173">
        <v>0.15</v>
      </c>
      <c r="G173">
        <v>3.13</v>
      </c>
      <c r="H173">
        <v>91.9</v>
      </c>
      <c r="I173">
        <v>2.16</v>
      </c>
      <c r="J173">
        <v>4.2</v>
      </c>
      <c r="K173" s="51">
        <v>2.823</v>
      </c>
      <c r="L173" s="60">
        <v>25</v>
      </c>
      <c r="M173" s="60">
        <f t="shared" si="4"/>
        <v>30.000000000000004</v>
      </c>
      <c r="N173" s="60">
        <v>60.416666666666664</v>
      </c>
      <c r="O173" s="60">
        <f t="shared" si="5"/>
        <v>51.012349590282909</v>
      </c>
      <c r="P173">
        <v>0.41896491081629567</v>
      </c>
      <c r="Q173">
        <v>2.1107159681536118</v>
      </c>
      <c r="R173">
        <v>2.7275934154601202</v>
      </c>
    </row>
    <row r="174" spans="1:18">
      <c r="A174">
        <v>4</v>
      </c>
      <c r="B174" t="s">
        <v>80</v>
      </c>
      <c r="C174" t="s">
        <v>323</v>
      </c>
      <c r="D174" t="s">
        <v>451</v>
      </c>
      <c r="E174" t="s">
        <v>333</v>
      </c>
      <c r="F174">
        <v>0.37</v>
      </c>
      <c r="G174">
        <v>3.27</v>
      </c>
      <c r="H174">
        <v>114.7</v>
      </c>
      <c r="I174">
        <v>2.39</v>
      </c>
      <c r="J174">
        <v>4.6399999999999997</v>
      </c>
      <c r="K174" s="51">
        <v>2.6309999999999998</v>
      </c>
      <c r="L174" s="60">
        <v>27.083333333333332</v>
      </c>
      <c r="M174" s="60">
        <f t="shared" si="4"/>
        <v>31.360193632010947</v>
      </c>
      <c r="N174" s="60">
        <v>58.333333333333336</v>
      </c>
      <c r="O174" s="60">
        <f t="shared" si="5"/>
        <v>49.797034113430229</v>
      </c>
      <c r="P174">
        <v>0.47986506888978159</v>
      </c>
      <c r="Q174">
        <v>2.1291073917055878</v>
      </c>
      <c r="R174">
        <v>3.2520783378429394</v>
      </c>
    </row>
    <row r="175" spans="1:18">
      <c r="A175">
        <v>4</v>
      </c>
      <c r="B175" t="s">
        <v>80</v>
      </c>
      <c r="C175" t="s">
        <v>323</v>
      </c>
      <c r="D175" t="s">
        <v>451</v>
      </c>
      <c r="E175" t="s">
        <v>333</v>
      </c>
      <c r="F175">
        <v>0.5</v>
      </c>
      <c r="G175">
        <v>3.4</v>
      </c>
      <c r="H175">
        <v>104.2</v>
      </c>
      <c r="I175">
        <v>2.4500000000000002</v>
      </c>
      <c r="J175">
        <v>5.3</v>
      </c>
      <c r="K175" s="51">
        <v>3.3370000000000002</v>
      </c>
      <c r="L175" s="60">
        <v>31.25</v>
      </c>
      <c r="M175" s="60">
        <f t="shared" si="4"/>
        <v>33.987843581478927</v>
      </c>
      <c r="N175" s="60">
        <v>64.583333333333343</v>
      </c>
      <c r="O175" s="60">
        <f t="shared" si="5"/>
        <v>53.478881650002094</v>
      </c>
      <c r="P175">
        <v>0.48452703682642695</v>
      </c>
      <c r="Q175">
        <v>2.1772188003435593</v>
      </c>
      <c r="R175">
        <v>3.1346435387685134</v>
      </c>
    </row>
    <row r="176" spans="1:18">
      <c r="A176">
        <v>4</v>
      </c>
      <c r="B176" t="s">
        <v>376</v>
      </c>
      <c r="C176" t="s">
        <v>375</v>
      </c>
      <c r="D176" t="s">
        <v>451</v>
      </c>
      <c r="E176" t="s">
        <v>333</v>
      </c>
      <c r="F176">
        <v>0.89</v>
      </c>
      <c r="G176">
        <v>3.63</v>
      </c>
      <c r="H176">
        <v>115.9</v>
      </c>
      <c r="I176">
        <v>2.25</v>
      </c>
      <c r="J176">
        <v>4.78</v>
      </c>
      <c r="K176" s="51">
        <v>3.7440000000000002</v>
      </c>
      <c r="L176" s="60">
        <v>31.25</v>
      </c>
      <c r="M176" s="60">
        <f t="shared" si="4"/>
        <v>33.987843581478927</v>
      </c>
      <c r="N176" s="60">
        <v>72.916666666666657</v>
      </c>
      <c r="O176" s="60">
        <f t="shared" si="5"/>
        <v>58.639806367989038</v>
      </c>
      <c r="P176">
        <v>0.55014039325344455</v>
      </c>
      <c r="Q176">
        <v>2.5592317368995623</v>
      </c>
      <c r="R176">
        <v>3.349782784917207</v>
      </c>
    </row>
    <row r="177" spans="1:18">
      <c r="A177">
        <v>4</v>
      </c>
      <c r="B177" t="s">
        <v>376</v>
      </c>
      <c r="C177" t="s">
        <v>375</v>
      </c>
      <c r="D177" t="s">
        <v>451</v>
      </c>
      <c r="E177" t="s">
        <v>333</v>
      </c>
      <c r="F177">
        <v>1.1599999999999999</v>
      </c>
      <c r="G177">
        <v>3.52</v>
      </c>
      <c r="H177">
        <v>163.1</v>
      </c>
      <c r="I177">
        <v>1.76</v>
      </c>
      <c r="J177">
        <v>4.53</v>
      </c>
      <c r="K177" s="51">
        <v>3.2890000000000001</v>
      </c>
      <c r="L177" s="60">
        <v>29.166666666666668</v>
      </c>
      <c r="M177" s="60">
        <f t="shared" si="4"/>
        <v>32.687840823917959</v>
      </c>
      <c r="N177" s="60">
        <v>64.583333333333343</v>
      </c>
      <c r="O177" s="60">
        <f t="shared" si="5"/>
        <v>53.478881650002094</v>
      </c>
      <c r="P177">
        <v>0.63704084173696507</v>
      </c>
      <c r="Q177">
        <v>2.7603374677273598</v>
      </c>
      <c r="R177">
        <v>4.0556471957089508</v>
      </c>
    </row>
    <row r="178" spans="1:18">
      <c r="A178">
        <v>4</v>
      </c>
      <c r="B178" t="s">
        <v>376</v>
      </c>
      <c r="C178" t="s">
        <v>375</v>
      </c>
      <c r="D178" t="s">
        <v>451</v>
      </c>
      <c r="E178" t="s">
        <v>333</v>
      </c>
      <c r="F178">
        <v>1.1200000000000001</v>
      </c>
      <c r="G178">
        <v>3.43</v>
      </c>
      <c r="H178">
        <v>132.6</v>
      </c>
      <c r="I178">
        <v>2.16</v>
      </c>
      <c r="J178">
        <v>4.16</v>
      </c>
      <c r="K178" s="51">
        <v>3.347</v>
      </c>
      <c r="L178" s="60">
        <v>29.166666666666668</v>
      </c>
      <c r="M178" s="60">
        <f t="shared" si="4"/>
        <v>32.687840823917959</v>
      </c>
      <c r="N178" s="60">
        <v>72.916666666666657</v>
      </c>
      <c r="O178" s="60">
        <f t="shared" si="5"/>
        <v>58.639806367989038</v>
      </c>
      <c r="P178">
        <v>0.60862076796933817</v>
      </c>
      <c r="Q178">
        <v>2.3579129347013454</v>
      </c>
      <c r="R178">
        <v>3.7161453913136744</v>
      </c>
    </row>
    <row r="179" spans="1:18">
      <c r="A179">
        <v>4</v>
      </c>
      <c r="B179" t="s">
        <v>88</v>
      </c>
      <c r="C179" t="s">
        <v>160</v>
      </c>
      <c r="D179" t="s">
        <v>451</v>
      </c>
      <c r="E179" t="s">
        <v>333</v>
      </c>
      <c r="F179">
        <v>0.47</v>
      </c>
      <c r="G179">
        <v>3.08</v>
      </c>
      <c r="H179">
        <v>103.7</v>
      </c>
      <c r="I179">
        <v>1.62</v>
      </c>
      <c r="J179">
        <v>4.51</v>
      </c>
      <c r="K179" s="51">
        <v>2.9980000000000002</v>
      </c>
      <c r="L179" s="60">
        <v>27.083333333333332</v>
      </c>
      <c r="M179" s="60">
        <f t="shared" si="4"/>
        <v>31.360193632010947</v>
      </c>
      <c r="N179" s="60">
        <v>50</v>
      </c>
      <c r="O179" s="60">
        <f t="shared" si="5"/>
        <v>45.000000000000007</v>
      </c>
      <c r="P179">
        <v>0.32190034762255043</v>
      </c>
      <c r="Q179">
        <v>2.2475734716183036</v>
      </c>
      <c r="R179">
        <v>2.6592759381911182</v>
      </c>
    </row>
    <row r="180" spans="1:18">
      <c r="A180">
        <v>4</v>
      </c>
      <c r="B180" t="s">
        <v>88</v>
      </c>
      <c r="C180" t="s">
        <v>160</v>
      </c>
      <c r="D180" t="s">
        <v>451</v>
      </c>
      <c r="E180" t="s">
        <v>333</v>
      </c>
      <c r="F180">
        <v>0.44</v>
      </c>
      <c r="G180">
        <v>3.24</v>
      </c>
      <c r="H180">
        <v>97</v>
      </c>
      <c r="I180">
        <v>1.58</v>
      </c>
      <c r="J180">
        <v>4.3600000000000003</v>
      </c>
      <c r="K180" s="51">
        <v>2.9620000000000002</v>
      </c>
      <c r="L180" s="60">
        <v>20.833333333333336</v>
      </c>
      <c r="M180" s="60">
        <f t="shared" si="4"/>
        <v>27.157332643673978</v>
      </c>
      <c r="N180" s="60">
        <v>52.083333333333336</v>
      </c>
      <c r="O180" s="60">
        <f t="shared" si="5"/>
        <v>46.1940077316344</v>
      </c>
      <c r="P180">
        <v>0.30329858325116643</v>
      </c>
      <c r="Q180">
        <v>2.2938259794030689</v>
      </c>
      <c r="R180">
        <v>2.5187098483667887</v>
      </c>
    </row>
    <row r="181" spans="1:18">
      <c r="A181">
        <v>4</v>
      </c>
      <c r="B181" t="s">
        <v>88</v>
      </c>
      <c r="C181" t="s">
        <v>160</v>
      </c>
      <c r="D181" t="s">
        <v>451</v>
      </c>
      <c r="E181" t="s">
        <v>333</v>
      </c>
      <c r="F181">
        <v>0.35</v>
      </c>
      <c r="G181">
        <v>3.41</v>
      </c>
      <c r="H181">
        <v>99.1</v>
      </c>
      <c r="I181">
        <v>1.22</v>
      </c>
      <c r="J181">
        <v>4.8499999999999996</v>
      </c>
      <c r="K181" s="51">
        <v>3.1070000000000002</v>
      </c>
      <c r="L181" s="60">
        <v>18.75</v>
      </c>
      <c r="M181" s="60">
        <f t="shared" si="4"/>
        <v>25.658906273255283</v>
      </c>
      <c r="N181" s="60">
        <v>54.166666666666664</v>
      </c>
      <c r="O181" s="60">
        <f t="shared" si="5"/>
        <v>47.390095923599581</v>
      </c>
      <c r="P181">
        <v>0.35422503299718805</v>
      </c>
      <c r="Q181">
        <v>2.0646941541834356</v>
      </c>
      <c r="R181">
        <v>2.8107382602581956</v>
      </c>
    </row>
    <row r="182" spans="1:18">
      <c r="A182">
        <v>4</v>
      </c>
      <c r="B182" t="s">
        <v>364</v>
      </c>
      <c r="C182" t="s">
        <v>320</v>
      </c>
      <c r="D182" t="s">
        <v>452</v>
      </c>
      <c r="E182" t="s">
        <v>334</v>
      </c>
      <c r="F182">
        <v>1.44</v>
      </c>
      <c r="G182">
        <v>5.53</v>
      </c>
      <c r="H182">
        <v>131.6</v>
      </c>
      <c r="I182">
        <v>0.72</v>
      </c>
      <c r="J182">
        <v>4.26</v>
      </c>
      <c r="K182" s="51">
        <v>5.4669999999999996</v>
      </c>
      <c r="L182" s="60">
        <v>12.5</v>
      </c>
      <c r="M182" s="60">
        <f t="shared" si="4"/>
        <v>20.704811054635432</v>
      </c>
      <c r="N182" s="60">
        <v>43.75</v>
      </c>
      <c r="O182" s="60">
        <f t="shared" si="5"/>
        <v>41.409622109270863</v>
      </c>
      <c r="P182">
        <v>0.51177308020707801</v>
      </c>
      <c r="Q182">
        <v>3.0421491867326749</v>
      </c>
      <c r="R182">
        <v>3.7652499115930644</v>
      </c>
    </row>
    <row r="183" spans="1:18">
      <c r="A183">
        <v>4</v>
      </c>
      <c r="B183" t="s">
        <v>364</v>
      </c>
      <c r="C183" t="s">
        <v>320</v>
      </c>
      <c r="D183" t="s">
        <v>452</v>
      </c>
      <c r="E183" t="s">
        <v>334</v>
      </c>
      <c r="F183">
        <v>1.1599999999999999</v>
      </c>
      <c r="G183">
        <v>3.92</v>
      </c>
      <c r="H183">
        <v>114.5</v>
      </c>
      <c r="I183">
        <v>0.68</v>
      </c>
      <c r="J183">
        <v>4.97</v>
      </c>
      <c r="K183" s="51">
        <v>4.8490000000000002</v>
      </c>
      <c r="L183" s="60">
        <v>10.416666666666668</v>
      </c>
      <c r="M183" s="60">
        <f t="shared" si="4"/>
        <v>18.829231003103928</v>
      </c>
      <c r="N183" s="60">
        <v>50</v>
      </c>
      <c r="O183" s="60">
        <f t="shared" si="5"/>
        <v>45.000000000000007</v>
      </c>
      <c r="P183">
        <v>0.43762132096569162</v>
      </c>
      <c r="Q183">
        <v>2.5571757850797274</v>
      </c>
      <c r="R183">
        <v>3.1424962081966381</v>
      </c>
    </row>
    <row r="184" spans="1:18">
      <c r="A184">
        <v>4</v>
      </c>
      <c r="B184" t="s">
        <v>364</v>
      </c>
      <c r="C184" t="s">
        <v>320</v>
      </c>
      <c r="D184" t="s">
        <v>452</v>
      </c>
      <c r="E184" t="s">
        <v>334</v>
      </c>
      <c r="F184">
        <v>2.16</v>
      </c>
      <c r="G184">
        <v>4.6900000000000004</v>
      </c>
      <c r="H184">
        <v>138.5</v>
      </c>
      <c r="I184">
        <v>0.6</v>
      </c>
      <c r="J184">
        <v>4.5199999999999996</v>
      </c>
      <c r="K184" s="51">
        <v>6.165</v>
      </c>
      <c r="L184" s="60">
        <v>16.666666666666664</v>
      </c>
      <c r="M184" s="60">
        <f t="shared" si="4"/>
        <v>24.094842552110698</v>
      </c>
      <c r="N184" s="60">
        <v>50</v>
      </c>
      <c r="O184" s="60">
        <f t="shared" si="5"/>
        <v>45.000000000000007</v>
      </c>
      <c r="P184">
        <v>0.53728753549697494</v>
      </c>
      <c r="Q184">
        <v>3.2435945501208407</v>
      </c>
      <c r="R184">
        <v>3.984771546820788</v>
      </c>
    </row>
    <row r="185" spans="1:18">
      <c r="A185">
        <v>4</v>
      </c>
      <c r="B185" t="s">
        <v>365</v>
      </c>
      <c r="C185" t="s">
        <v>132</v>
      </c>
      <c r="D185" t="s">
        <v>452</v>
      </c>
      <c r="E185" t="s">
        <v>334</v>
      </c>
      <c r="F185">
        <v>1.21</v>
      </c>
      <c r="G185">
        <v>4.47</v>
      </c>
      <c r="H185">
        <v>162</v>
      </c>
      <c r="I185">
        <v>0.95</v>
      </c>
      <c r="J185">
        <v>4.67</v>
      </c>
      <c r="K185" s="51">
        <v>5.2789999999999999</v>
      </c>
      <c r="L185" s="60">
        <v>10.416666666666668</v>
      </c>
      <c r="M185" s="60">
        <f t="shared" si="4"/>
        <v>18.829231003103928</v>
      </c>
      <c r="N185" s="60">
        <v>43.75</v>
      </c>
      <c r="O185" s="60">
        <f t="shared" si="5"/>
        <v>41.409622109270863</v>
      </c>
      <c r="P185">
        <v>0.54527777285066148</v>
      </c>
      <c r="Q185">
        <v>3.0681284075334907</v>
      </c>
      <c r="R185">
        <v>4.3988091697561638</v>
      </c>
    </row>
    <row r="186" spans="1:18">
      <c r="A186">
        <v>4</v>
      </c>
      <c r="B186" t="s">
        <v>365</v>
      </c>
      <c r="C186" t="s">
        <v>132</v>
      </c>
      <c r="D186" t="s">
        <v>452</v>
      </c>
      <c r="E186" t="s">
        <v>334</v>
      </c>
      <c r="F186">
        <v>1.56</v>
      </c>
      <c r="G186">
        <v>3.93</v>
      </c>
      <c r="H186">
        <v>186</v>
      </c>
      <c r="I186">
        <v>0.86</v>
      </c>
      <c r="J186">
        <v>4.12</v>
      </c>
      <c r="K186" s="51">
        <v>5.3849999999999998</v>
      </c>
      <c r="L186" s="60">
        <v>12.5</v>
      </c>
      <c r="M186" s="60">
        <f t="shared" si="4"/>
        <v>20.704811054635432</v>
      </c>
      <c r="N186" s="60">
        <v>45.833333333333329</v>
      </c>
      <c r="O186" s="60">
        <f t="shared" si="5"/>
        <v>42.609904076400426</v>
      </c>
      <c r="P186">
        <v>0.57421698150940181</v>
      </c>
      <c r="Q186">
        <v>3.7947348894975859</v>
      </c>
      <c r="R186">
        <v>4.4914463461085736</v>
      </c>
    </row>
    <row r="187" spans="1:18">
      <c r="A187">
        <v>4</v>
      </c>
      <c r="B187" t="s">
        <v>365</v>
      </c>
      <c r="C187" t="s">
        <v>132</v>
      </c>
      <c r="D187" t="s">
        <v>452</v>
      </c>
      <c r="E187" t="s">
        <v>334</v>
      </c>
      <c r="F187">
        <v>0.82</v>
      </c>
      <c r="G187">
        <v>3.61</v>
      </c>
      <c r="H187">
        <v>184.4</v>
      </c>
      <c r="I187">
        <v>0.84</v>
      </c>
      <c r="J187">
        <v>4.38</v>
      </c>
      <c r="K187" s="51">
        <v>3.36</v>
      </c>
      <c r="L187" s="60">
        <v>6.25</v>
      </c>
      <c r="M187" s="60">
        <f t="shared" si="4"/>
        <v>14.477512185929923</v>
      </c>
      <c r="N187" s="60">
        <v>25</v>
      </c>
      <c r="O187" s="60">
        <f t="shared" si="5"/>
        <v>30.000000000000004</v>
      </c>
      <c r="P187">
        <v>0.72675127858669442</v>
      </c>
      <c r="Q187">
        <v>4.1646278565722987</v>
      </c>
      <c r="R187">
        <v>5.1287735201010625</v>
      </c>
    </row>
    <row r="188" spans="1:18">
      <c r="A188">
        <v>4</v>
      </c>
      <c r="B188" t="s">
        <v>366</v>
      </c>
      <c r="C188" t="s">
        <v>136</v>
      </c>
      <c r="D188" t="s">
        <v>452</v>
      </c>
      <c r="E188" t="s">
        <v>334</v>
      </c>
      <c r="F188">
        <v>2.2599999999999998</v>
      </c>
      <c r="G188">
        <v>4.9000000000000004</v>
      </c>
      <c r="H188">
        <v>101</v>
      </c>
      <c r="I188">
        <v>1.67</v>
      </c>
      <c r="J188">
        <v>4.2</v>
      </c>
      <c r="K188" s="51">
        <v>6.91</v>
      </c>
      <c r="L188" s="60">
        <v>33.333333333333329</v>
      </c>
      <c r="M188" s="60">
        <f t="shared" si="4"/>
        <v>35.264389682754654</v>
      </c>
      <c r="N188" s="60">
        <v>75</v>
      </c>
      <c r="O188" s="60">
        <f t="shared" si="5"/>
        <v>59.999999999999993</v>
      </c>
      <c r="P188">
        <v>0.4631776144293791</v>
      </c>
      <c r="Q188">
        <v>3.2670772579975704</v>
      </c>
      <c r="R188">
        <v>3.1270127624583139</v>
      </c>
    </row>
    <row r="189" spans="1:18">
      <c r="A189">
        <v>4</v>
      </c>
      <c r="B189" t="s">
        <v>366</v>
      </c>
      <c r="C189" t="s">
        <v>136</v>
      </c>
      <c r="D189" t="s">
        <v>452</v>
      </c>
      <c r="E189" t="s">
        <v>334</v>
      </c>
      <c r="F189">
        <v>2.83</v>
      </c>
      <c r="G189">
        <v>5.35</v>
      </c>
      <c r="H189">
        <v>116.5</v>
      </c>
      <c r="I189">
        <v>1.66</v>
      </c>
      <c r="J189">
        <v>4.46</v>
      </c>
      <c r="K189" s="51">
        <v>7.1260000000000003</v>
      </c>
      <c r="L189" s="60">
        <v>35.416666666666671</v>
      </c>
      <c r="M189" s="60">
        <f t="shared" si="4"/>
        <v>36.521118349997934</v>
      </c>
      <c r="N189" s="60">
        <v>66.666666666666657</v>
      </c>
      <c r="O189" s="60">
        <f t="shared" si="5"/>
        <v>54.735610317245346</v>
      </c>
      <c r="P189">
        <v>0.61164336256562479</v>
      </c>
      <c r="Q189">
        <v>4.0239345344266004</v>
      </c>
      <c r="R189">
        <v>3.6755122808873937</v>
      </c>
    </row>
    <row r="190" spans="1:18">
      <c r="A190">
        <v>4</v>
      </c>
      <c r="B190" t="s">
        <v>366</v>
      </c>
      <c r="C190" t="s">
        <v>136</v>
      </c>
      <c r="D190" t="s">
        <v>452</v>
      </c>
      <c r="E190" t="s">
        <v>334</v>
      </c>
      <c r="F190">
        <v>3.79</v>
      </c>
      <c r="G190">
        <v>6.01</v>
      </c>
      <c r="H190">
        <v>108.2</v>
      </c>
      <c r="I190">
        <v>1.94</v>
      </c>
      <c r="J190">
        <v>3.84</v>
      </c>
      <c r="K190" s="51">
        <v>8.7010000000000005</v>
      </c>
      <c r="L190" s="60">
        <v>33.333333333333329</v>
      </c>
      <c r="M190" s="60">
        <f t="shared" si="4"/>
        <v>35.264389682754654</v>
      </c>
      <c r="N190" s="60">
        <v>70.833333333333343</v>
      </c>
      <c r="O190" s="60">
        <f t="shared" si="5"/>
        <v>57.312159176082048</v>
      </c>
      <c r="P190">
        <v>0.57068891346650452</v>
      </c>
      <c r="Q190">
        <v>3.9148734995660739</v>
      </c>
      <c r="R190">
        <v>3.3813630828496599</v>
      </c>
    </row>
    <row r="191" spans="1:18">
      <c r="A191">
        <v>4</v>
      </c>
      <c r="B191" t="s">
        <v>367</v>
      </c>
      <c r="C191" t="s">
        <v>321</v>
      </c>
      <c r="D191" t="s">
        <v>452</v>
      </c>
      <c r="E191" t="s">
        <v>334</v>
      </c>
      <c r="F191">
        <v>2.83</v>
      </c>
      <c r="G191">
        <v>5.6</v>
      </c>
      <c r="H191">
        <v>114.1</v>
      </c>
      <c r="I191">
        <v>1.62</v>
      </c>
      <c r="J191">
        <v>4.0599999999999996</v>
      </c>
      <c r="K191" s="51">
        <v>8.6549999999999994</v>
      </c>
      <c r="L191" s="60">
        <v>31.25</v>
      </c>
      <c r="M191" s="60">
        <f t="shared" si="4"/>
        <v>33.987843581478927</v>
      </c>
      <c r="N191" s="60">
        <v>70.833333333333343</v>
      </c>
      <c r="O191" s="60">
        <f t="shared" si="5"/>
        <v>57.312159176082048</v>
      </c>
      <c r="P191">
        <v>0.48819257315463555</v>
      </c>
      <c r="Q191">
        <v>4.1766746662096104</v>
      </c>
      <c r="R191">
        <v>3.4586149584966739</v>
      </c>
    </row>
    <row r="192" spans="1:18">
      <c r="A192">
        <v>4</v>
      </c>
      <c r="B192" t="s">
        <v>367</v>
      </c>
      <c r="C192" t="s">
        <v>321</v>
      </c>
      <c r="D192" t="s">
        <v>452</v>
      </c>
      <c r="E192" t="s">
        <v>334</v>
      </c>
      <c r="F192">
        <v>2.2400000000000002</v>
      </c>
      <c r="G192">
        <v>4.9400000000000004</v>
      </c>
      <c r="H192">
        <v>113.8</v>
      </c>
      <c r="I192">
        <v>1.38</v>
      </c>
      <c r="J192">
        <v>4.28</v>
      </c>
      <c r="K192" s="51">
        <v>6.0289999999999999</v>
      </c>
      <c r="L192" s="60">
        <v>27.083333333333332</v>
      </c>
      <c r="M192" s="60">
        <f t="shared" si="4"/>
        <v>31.360193632010947</v>
      </c>
      <c r="N192" s="60">
        <v>64.583333333333343</v>
      </c>
      <c r="O192" s="60">
        <f t="shared" si="5"/>
        <v>53.478881650002094</v>
      </c>
      <c r="P192">
        <v>0.49817055068350702</v>
      </c>
      <c r="Q192">
        <v>3.677343244665781</v>
      </c>
      <c r="R192">
        <v>3.5667185118860294</v>
      </c>
    </row>
    <row r="193" spans="1:18">
      <c r="A193">
        <v>4</v>
      </c>
      <c r="B193" t="s">
        <v>367</v>
      </c>
      <c r="C193" t="s">
        <v>321</v>
      </c>
      <c r="D193" t="s">
        <v>452</v>
      </c>
      <c r="E193" t="s">
        <v>334</v>
      </c>
      <c r="F193">
        <v>2.7</v>
      </c>
      <c r="G193">
        <v>5.43</v>
      </c>
      <c r="H193">
        <v>111.1</v>
      </c>
      <c r="I193">
        <v>0.98</v>
      </c>
      <c r="J193">
        <v>4.01</v>
      </c>
      <c r="K193" s="51">
        <v>7.3079999999999998</v>
      </c>
      <c r="L193" s="60">
        <v>31.25</v>
      </c>
      <c r="M193" s="60">
        <f t="shared" si="4"/>
        <v>33.987843581478927</v>
      </c>
      <c r="N193" s="60">
        <v>75</v>
      </c>
      <c r="O193" s="60">
        <f t="shared" si="5"/>
        <v>59.999999999999993</v>
      </c>
      <c r="P193">
        <v>0.53429824067166454</v>
      </c>
      <c r="Q193">
        <v>3.5604258037861873</v>
      </c>
      <c r="R193">
        <v>3.5402193529953045</v>
      </c>
    </row>
    <row r="194" spans="1:18">
      <c r="A194">
        <v>4</v>
      </c>
      <c r="B194" t="s">
        <v>368</v>
      </c>
      <c r="C194" t="s">
        <v>322</v>
      </c>
      <c r="D194" t="s">
        <v>452</v>
      </c>
      <c r="E194" t="s">
        <v>334</v>
      </c>
      <c r="F194">
        <v>2.0099999999999998</v>
      </c>
      <c r="G194">
        <v>5.13</v>
      </c>
      <c r="H194">
        <v>127.4</v>
      </c>
      <c r="I194">
        <v>2.19</v>
      </c>
      <c r="J194">
        <v>4.03</v>
      </c>
      <c r="K194" s="51">
        <v>5.6779999999999999</v>
      </c>
      <c r="L194" s="60">
        <v>31.25</v>
      </c>
      <c r="M194" s="60">
        <f t="shared" si="4"/>
        <v>33.987843581478927</v>
      </c>
      <c r="N194" s="60">
        <v>70.833333333333343</v>
      </c>
      <c r="O194" s="60">
        <f t="shared" si="5"/>
        <v>57.312159176082048</v>
      </c>
      <c r="P194">
        <v>0.52856214166097149</v>
      </c>
      <c r="Q194">
        <v>3.2599252157318448</v>
      </c>
      <c r="R194">
        <v>3.6153835131049132</v>
      </c>
    </row>
    <row r="195" spans="1:18">
      <c r="A195">
        <v>4</v>
      </c>
      <c r="B195" t="s">
        <v>368</v>
      </c>
      <c r="C195" t="s">
        <v>322</v>
      </c>
      <c r="D195" t="s">
        <v>452</v>
      </c>
      <c r="E195" t="s">
        <v>334</v>
      </c>
      <c r="F195">
        <v>1.91</v>
      </c>
      <c r="G195">
        <v>4.82</v>
      </c>
      <c r="H195">
        <v>133.1</v>
      </c>
      <c r="I195">
        <v>1.82</v>
      </c>
      <c r="J195">
        <v>4.29</v>
      </c>
      <c r="K195" s="51">
        <v>5.694</v>
      </c>
      <c r="L195" s="60">
        <v>31.25</v>
      </c>
      <c r="M195" s="60">
        <f t="shared" ref="M195:M258" si="6">ASIN(SQRT(L195/100))*180/PI()</f>
        <v>33.987843581478927</v>
      </c>
      <c r="N195" s="60">
        <v>72.916666666666657</v>
      </c>
      <c r="O195" s="60">
        <f t="shared" ref="O195:O253" si="7">ASIN(SQRT(N195/100))*180/PI()</f>
        <v>58.639806367989038</v>
      </c>
      <c r="P195">
        <v>0.41299827492961466</v>
      </c>
      <c r="Q195">
        <v>3.1775482994389339</v>
      </c>
      <c r="R195">
        <v>3.5965695370100335</v>
      </c>
    </row>
    <row r="196" spans="1:18">
      <c r="A196">
        <v>4</v>
      </c>
      <c r="B196" t="s">
        <v>368</v>
      </c>
      <c r="C196" t="s">
        <v>322</v>
      </c>
      <c r="D196" t="s">
        <v>452</v>
      </c>
      <c r="E196" t="s">
        <v>334</v>
      </c>
      <c r="F196">
        <v>1.41</v>
      </c>
      <c r="G196">
        <v>4.58</v>
      </c>
      <c r="H196">
        <v>121.1</v>
      </c>
      <c r="I196">
        <v>2.15</v>
      </c>
      <c r="J196">
        <v>4.5199999999999996</v>
      </c>
      <c r="K196" s="51">
        <v>4.8319999999999999</v>
      </c>
      <c r="L196" s="60">
        <v>27.083333333333332</v>
      </c>
      <c r="M196" s="60">
        <f t="shared" si="6"/>
        <v>31.360193632010947</v>
      </c>
      <c r="N196" s="60">
        <v>52.083333333333336</v>
      </c>
      <c r="O196" s="60">
        <f t="shared" si="7"/>
        <v>46.1940077316344</v>
      </c>
      <c r="P196">
        <v>0.39606747598900266</v>
      </c>
      <c r="Q196">
        <v>2.8331170941225903</v>
      </c>
      <c r="R196">
        <v>3.2558238510017699</v>
      </c>
    </row>
    <row r="197" spans="1:18">
      <c r="A197">
        <v>4</v>
      </c>
      <c r="B197" t="s">
        <v>369</v>
      </c>
      <c r="C197" t="s">
        <v>148</v>
      </c>
      <c r="D197" t="s">
        <v>452</v>
      </c>
      <c r="E197" t="s">
        <v>334</v>
      </c>
      <c r="F197">
        <v>0.54</v>
      </c>
      <c r="G197">
        <v>3.01</v>
      </c>
      <c r="H197">
        <v>154.5</v>
      </c>
      <c r="I197">
        <v>2.16</v>
      </c>
      <c r="J197">
        <v>5.24</v>
      </c>
      <c r="K197" s="51">
        <v>3.16</v>
      </c>
      <c r="L197" s="60">
        <v>22.916666666666664</v>
      </c>
      <c r="M197" s="60">
        <f t="shared" si="6"/>
        <v>28.601415852088177</v>
      </c>
      <c r="N197" s="60">
        <v>52.083333333333336</v>
      </c>
      <c r="O197" s="60">
        <f t="shared" si="7"/>
        <v>46.1940077316344</v>
      </c>
      <c r="P197">
        <v>0.3937100229719554</v>
      </c>
      <c r="Q197">
        <v>3.2277364864216684</v>
      </c>
      <c r="R197">
        <v>4.040953177409401</v>
      </c>
    </row>
    <row r="198" spans="1:18">
      <c r="A198">
        <v>4</v>
      </c>
      <c r="B198" t="s">
        <v>369</v>
      </c>
      <c r="C198" t="s">
        <v>148</v>
      </c>
      <c r="D198" t="s">
        <v>452</v>
      </c>
      <c r="E198" t="s">
        <v>334</v>
      </c>
      <c r="F198">
        <v>0.18</v>
      </c>
      <c r="G198">
        <v>0.51</v>
      </c>
      <c r="H198">
        <v>96.9</v>
      </c>
      <c r="I198">
        <v>1.7</v>
      </c>
      <c r="J198">
        <v>4.66</v>
      </c>
      <c r="K198" s="51">
        <v>2.5529999999999999</v>
      </c>
      <c r="L198" s="60">
        <v>27.083333333333332</v>
      </c>
      <c r="M198" s="60">
        <f t="shared" si="6"/>
        <v>31.360193632010947</v>
      </c>
      <c r="N198" s="60">
        <v>54.166666666666664</v>
      </c>
      <c r="O198" s="60">
        <f t="shared" si="7"/>
        <v>47.390095923599581</v>
      </c>
      <c r="P198">
        <v>0.29431618349045036</v>
      </c>
      <c r="Q198">
        <v>1.9133851784724145</v>
      </c>
      <c r="R198">
        <v>2.7291370661410732</v>
      </c>
    </row>
    <row r="199" spans="1:18">
      <c r="A199">
        <v>4</v>
      </c>
      <c r="B199" t="s">
        <v>369</v>
      </c>
      <c r="C199" t="s">
        <v>148</v>
      </c>
      <c r="D199" t="s">
        <v>452</v>
      </c>
      <c r="E199" t="s">
        <v>334</v>
      </c>
      <c r="F199">
        <v>0.19</v>
      </c>
      <c r="G199">
        <v>0.46</v>
      </c>
      <c r="H199">
        <v>91.7</v>
      </c>
      <c r="I199">
        <v>1.52</v>
      </c>
      <c r="J199">
        <v>5.52</v>
      </c>
      <c r="K199" s="51">
        <v>3.2709999999999999</v>
      </c>
      <c r="L199" s="60">
        <v>25</v>
      </c>
      <c r="M199" s="60">
        <f t="shared" si="6"/>
        <v>30.000000000000004</v>
      </c>
      <c r="N199" s="60">
        <v>50</v>
      </c>
      <c r="O199" s="60">
        <f t="shared" si="7"/>
        <v>45.000000000000007</v>
      </c>
      <c r="P199">
        <v>0.26749962177136205</v>
      </c>
      <c r="Q199">
        <v>1.9921623100335051</v>
      </c>
      <c r="R199">
        <v>2.3553335727372469</v>
      </c>
    </row>
    <row r="200" spans="1:18">
      <c r="A200">
        <v>4</v>
      </c>
      <c r="B200" t="s">
        <v>370</v>
      </c>
      <c r="C200" t="s">
        <v>323</v>
      </c>
      <c r="D200" t="s">
        <v>452</v>
      </c>
      <c r="E200" t="s">
        <v>334</v>
      </c>
      <c r="F200">
        <v>0.31</v>
      </c>
      <c r="G200">
        <v>0.77</v>
      </c>
      <c r="H200">
        <v>126.4</v>
      </c>
      <c r="I200">
        <v>1.74</v>
      </c>
      <c r="J200">
        <v>4.1100000000000003</v>
      </c>
      <c r="K200" s="51">
        <v>4.7770000000000001</v>
      </c>
      <c r="L200" s="60">
        <v>27.083333333333332</v>
      </c>
      <c r="M200" s="60">
        <f t="shared" si="6"/>
        <v>31.360193632010947</v>
      </c>
      <c r="N200" s="60">
        <v>60.416666666666664</v>
      </c>
      <c r="O200" s="60">
        <f t="shared" si="7"/>
        <v>51.012349590282909</v>
      </c>
      <c r="P200">
        <v>0.42909914111667008</v>
      </c>
      <c r="Q200">
        <v>3.4884103506517841</v>
      </c>
      <c r="R200">
        <v>3.474640335503778</v>
      </c>
    </row>
    <row r="201" spans="1:18">
      <c r="A201">
        <v>4</v>
      </c>
      <c r="B201" t="s">
        <v>370</v>
      </c>
      <c r="C201" t="s">
        <v>323</v>
      </c>
      <c r="D201" t="s">
        <v>452</v>
      </c>
      <c r="E201" t="s">
        <v>334</v>
      </c>
      <c r="F201">
        <v>0.45</v>
      </c>
      <c r="G201">
        <v>0.82</v>
      </c>
      <c r="H201">
        <v>114.1</v>
      </c>
      <c r="I201">
        <v>1.57</v>
      </c>
      <c r="J201">
        <v>4.2300000000000004</v>
      </c>
      <c r="K201" s="51">
        <v>3.0329999999999999</v>
      </c>
      <c r="L201" s="60">
        <v>27.083333333333332</v>
      </c>
      <c r="M201" s="60">
        <f t="shared" si="6"/>
        <v>31.360193632010947</v>
      </c>
      <c r="N201" s="60">
        <v>68.75</v>
      </c>
      <c r="O201" s="60">
        <f t="shared" si="7"/>
        <v>56.01215641852108</v>
      </c>
      <c r="P201">
        <v>0.46996222930567655</v>
      </c>
      <c r="Q201">
        <v>2.4312388568658463</v>
      </c>
      <c r="R201">
        <v>3.2712923616263874</v>
      </c>
    </row>
    <row r="202" spans="1:18">
      <c r="A202">
        <v>4</v>
      </c>
      <c r="B202" t="s">
        <v>370</v>
      </c>
      <c r="C202" t="s">
        <v>323</v>
      </c>
      <c r="D202" t="s">
        <v>452</v>
      </c>
      <c r="E202" t="s">
        <v>334</v>
      </c>
      <c r="F202">
        <v>0.73</v>
      </c>
      <c r="G202">
        <v>1.1000000000000001</v>
      </c>
      <c r="H202">
        <v>113.1</v>
      </c>
      <c r="I202">
        <v>1.58</v>
      </c>
      <c r="J202">
        <v>4.99</v>
      </c>
      <c r="K202" s="51">
        <v>4.6539999999999999</v>
      </c>
      <c r="L202" s="60">
        <v>31.25</v>
      </c>
      <c r="M202" s="60">
        <f t="shared" si="6"/>
        <v>33.987843581478927</v>
      </c>
      <c r="N202" s="60">
        <v>72.916666666666657</v>
      </c>
      <c r="O202" s="60">
        <f t="shared" si="7"/>
        <v>58.639806367989038</v>
      </c>
      <c r="P202">
        <v>0.53624841187446637</v>
      </c>
      <c r="Q202">
        <v>2.7194923802354904</v>
      </c>
      <c r="R202">
        <v>3.4008811428764192</v>
      </c>
    </row>
    <row r="203" spans="1:18">
      <c r="A203">
        <v>4</v>
      </c>
      <c r="B203" t="s">
        <v>377</v>
      </c>
      <c r="C203" t="s">
        <v>375</v>
      </c>
      <c r="D203" t="s">
        <v>452</v>
      </c>
      <c r="E203" t="s">
        <v>334</v>
      </c>
      <c r="F203">
        <v>1.01</v>
      </c>
      <c r="G203">
        <v>1.1499999999999999</v>
      </c>
      <c r="H203">
        <v>91.3</v>
      </c>
      <c r="I203">
        <v>1.77</v>
      </c>
      <c r="J203">
        <v>4.87</v>
      </c>
      <c r="K203" s="51">
        <v>4.3369999999999997</v>
      </c>
      <c r="L203" s="60">
        <v>29.166666666666668</v>
      </c>
      <c r="M203" s="60">
        <f t="shared" si="6"/>
        <v>32.687840823917959</v>
      </c>
      <c r="N203" s="60">
        <v>66.666666666666657</v>
      </c>
      <c r="O203" s="60">
        <f t="shared" si="7"/>
        <v>54.735610317245346</v>
      </c>
      <c r="P203">
        <v>0.61799337273867105</v>
      </c>
      <c r="Q203">
        <v>2.9664474386859814</v>
      </c>
      <c r="R203">
        <v>2.7386507335721317</v>
      </c>
    </row>
    <row r="204" spans="1:18">
      <c r="A204">
        <v>4</v>
      </c>
      <c r="B204" t="s">
        <v>377</v>
      </c>
      <c r="C204" t="s">
        <v>375</v>
      </c>
      <c r="D204" t="s">
        <v>452</v>
      </c>
      <c r="E204" t="s">
        <v>334</v>
      </c>
      <c r="F204">
        <v>0.73</v>
      </c>
      <c r="G204">
        <v>0.93</v>
      </c>
      <c r="H204">
        <v>89</v>
      </c>
      <c r="I204">
        <v>1.51</v>
      </c>
      <c r="J204">
        <v>4.6900000000000004</v>
      </c>
      <c r="K204" s="51">
        <v>3.379</v>
      </c>
      <c r="L204" s="60">
        <v>31.25</v>
      </c>
      <c r="M204" s="60">
        <f t="shared" si="6"/>
        <v>33.987843581478927</v>
      </c>
      <c r="N204" s="60">
        <v>70.833333333333343</v>
      </c>
      <c r="O204" s="60">
        <f t="shared" si="7"/>
        <v>57.312159176082048</v>
      </c>
      <c r="P204">
        <v>0.38790561673874746</v>
      </c>
      <c r="Q204">
        <v>2.5797004728097614</v>
      </c>
      <c r="R204">
        <v>2.4982786128162591</v>
      </c>
    </row>
    <row r="205" spans="1:18">
      <c r="A205">
        <v>4</v>
      </c>
      <c r="B205" t="s">
        <v>377</v>
      </c>
      <c r="C205" t="s">
        <v>375</v>
      </c>
      <c r="D205" t="s">
        <v>452</v>
      </c>
      <c r="E205" t="s">
        <v>334</v>
      </c>
      <c r="F205">
        <v>0.72</v>
      </c>
      <c r="G205">
        <v>0.93</v>
      </c>
      <c r="H205">
        <v>85.8</v>
      </c>
      <c r="I205">
        <v>1.37</v>
      </c>
      <c r="J205">
        <v>4.7</v>
      </c>
      <c r="K205" s="51">
        <v>3.2370000000000001</v>
      </c>
      <c r="L205" s="60">
        <v>33.333333333333329</v>
      </c>
      <c r="M205" s="60">
        <f t="shared" si="6"/>
        <v>35.264389682754654</v>
      </c>
      <c r="N205" s="60">
        <v>81.25</v>
      </c>
      <c r="O205" s="60">
        <f t="shared" si="7"/>
        <v>64.341093726744717</v>
      </c>
      <c r="P205">
        <v>0.40757553530220902</v>
      </c>
      <c r="Q205">
        <v>2.8221447195661891</v>
      </c>
      <c r="R205">
        <v>2.3955058282262982</v>
      </c>
    </row>
    <row r="206" spans="1:18">
      <c r="A206">
        <v>4</v>
      </c>
      <c r="B206" t="s">
        <v>371</v>
      </c>
      <c r="C206" t="s">
        <v>160</v>
      </c>
      <c r="D206" t="s">
        <v>452</v>
      </c>
      <c r="E206" t="s">
        <v>334</v>
      </c>
      <c r="F206">
        <v>0.56999999999999995</v>
      </c>
      <c r="G206">
        <v>0.89</v>
      </c>
      <c r="H206">
        <v>119</v>
      </c>
      <c r="I206">
        <v>1.79</v>
      </c>
      <c r="J206">
        <v>4.25</v>
      </c>
      <c r="K206" s="51">
        <v>3.6120000000000001</v>
      </c>
      <c r="L206" s="60">
        <v>27.083333333333332</v>
      </c>
      <c r="M206" s="60">
        <f t="shared" si="6"/>
        <v>31.360193632010947</v>
      </c>
      <c r="N206" s="60">
        <v>75</v>
      </c>
      <c r="O206" s="60">
        <f t="shared" si="7"/>
        <v>59.999999999999993</v>
      </c>
      <c r="P206">
        <v>0.46325702157555271</v>
      </c>
      <c r="Q206">
        <v>2.5463561383728002</v>
      </c>
      <c r="R206">
        <v>2.6421389620067139</v>
      </c>
    </row>
    <row r="207" spans="1:18">
      <c r="A207">
        <v>4</v>
      </c>
      <c r="B207" t="s">
        <v>371</v>
      </c>
      <c r="C207" t="s">
        <v>160</v>
      </c>
      <c r="D207" t="s">
        <v>452</v>
      </c>
      <c r="E207" t="s">
        <v>334</v>
      </c>
      <c r="F207">
        <v>0.48</v>
      </c>
      <c r="G207">
        <v>0.83</v>
      </c>
      <c r="H207">
        <v>99</v>
      </c>
      <c r="I207">
        <v>1.81</v>
      </c>
      <c r="J207">
        <v>4.32</v>
      </c>
      <c r="K207" s="51">
        <v>3.1080000000000001</v>
      </c>
      <c r="L207" s="60">
        <v>22.916666666666664</v>
      </c>
      <c r="M207" s="60">
        <f t="shared" si="6"/>
        <v>28.601415852088177</v>
      </c>
      <c r="N207" s="60">
        <v>68.75</v>
      </c>
      <c r="O207" s="60">
        <f t="shared" si="7"/>
        <v>56.01215641852108</v>
      </c>
      <c r="P207">
        <v>0.48071890917121846</v>
      </c>
      <c r="Q207">
        <v>2.7293128877593245</v>
      </c>
      <c r="R207">
        <v>3.1383773171951455</v>
      </c>
    </row>
    <row r="208" spans="1:18">
      <c r="A208">
        <v>4</v>
      </c>
      <c r="B208" t="s">
        <v>371</v>
      </c>
      <c r="C208" t="s">
        <v>160</v>
      </c>
      <c r="D208" t="s">
        <v>452</v>
      </c>
      <c r="E208" t="s">
        <v>334</v>
      </c>
      <c r="F208">
        <v>0.63</v>
      </c>
      <c r="G208">
        <v>1.08</v>
      </c>
      <c r="H208">
        <v>112.2</v>
      </c>
      <c r="I208">
        <v>2.0499999999999998</v>
      </c>
      <c r="J208">
        <v>4.1500000000000004</v>
      </c>
      <c r="K208" s="51">
        <v>3.698</v>
      </c>
      <c r="L208" s="60">
        <v>31.25</v>
      </c>
      <c r="M208" s="60">
        <f t="shared" si="6"/>
        <v>33.987843581478927</v>
      </c>
      <c r="N208" s="60">
        <v>64.583333333333343</v>
      </c>
      <c r="O208" s="60">
        <f t="shared" si="7"/>
        <v>53.478881650002094</v>
      </c>
      <c r="P208">
        <v>0.46414074626683993</v>
      </c>
      <c r="Q208">
        <v>2.8357690049634474</v>
      </c>
      <c r="R208">
        <v>3.2784057429260391</v>
      </c>
    </row>
    <row r="209" spans="1:18">
      <c r="A209">
        <v>4</v>
      </c>
      <c r="B209" t="s">
        <v>128</v>
      </c>
      <c r="C209" t="s">
        <v>320</v>
      </c>
      <c r="D209" t="s">
        <v>449</v>
      </c>
      <c r="E209" t="s">
        <v>331</v>
      </c>
      <c r="F209">
        <v>0</v>
      </c>
      <c r="G209">
        <v>0.13</v>
      </c>
      <c r="H209">
        <v>212.2</v>
      </c>
      <c r="I209">
        <v>0.22</v>
      </c>
      <c r="J209">
        <v>5.0999999999999996</v>
      </c>
      <c r="K209" s="51">
        <v>2.1960000000000002</v>
      </c>
      <c r="L209" s="60">
        <v>2.083333333333333</v>
      </c>
      <c r="M209" s="60">
        <f t="shared" si="6"/>
        <v>8.2989210679332803</v>
      </c>
      <c r="N209" s="60">
        <v>4.1666666666666661</v>
      </c>
      <c r="O209" s="60">
        <f t="shared" si="7"/>
        <v>11.778232154550613</v>
      </c>
      <c r="P209">
        <v>0.55801706984969979</v>
      </c>
      <c r="Q209">
        <v>3.4672911863476736</v>
      </c>
      <c r="R209">
        <v>5.1722293670178772</v>
      </c>
    </row>
    <row r="210" spans="1:18">
      <c r="A210">
        <v>4</v>
      </c>
      <c r="B210" t="s">
        <v>128</v>
      </c>
      <c r="C210" t="s">
        <v>320</v>
      </c>
      <c r="D210" t="s">
        <v>449</v>
      </c>
      <c r="E210" t="s">
        <v>331</v>
      </c>
      <c r="F210">
        <v>0</v>
      </c>
      <c r="G210">
        <v>0.19</v>
      </c>
      <c r="H210">
        <v>206.8</v>
      </c>
      <c r="I210">
        <v>0</v>
      </c>
      <c r="J210">
        <v>5.16</v>
      </c>
      <c r="K210" s="51">
        <v>2.2050000000000001</v>
      </c>
      <c r="L210" s="60">
        <v>0</v>
      </c>
      <c r="M210" s="60">
        <f t="shared" si="6"/>
        <v>0</v>
      </c>
      <c r="N210" s="60">
        <v>4.1666666666666661</v>
      </c>
      <c r="O210" s="60">
        <f t="shared" si="7"/>
        <v>11.778232154550613</v>
      </c>
      <c r="P210">
        <v>0.5198205248596206</v>
      </c>
      <c r="Q210">
        <v>3.5009351023355251</v>
      </c>
      <c r="R210">
        <v>4.9473268236804584</v>
      </c>
    </row>
    <row r="211" spans="1:18">
      <c r="A211">
        <v>4</v>
      </c>
      <c r="B211" t="s">
        <v>128</v>
      </c>
      <c r="C211" t="s">
        <v>320</v>
      </c>
      <c r="D211" t="s">
        <v>449</v>
      </c>
      <c r="E211" t="s">
        <v>331</v>
      </c>
      <c r="F211">
        <v>0</v>
      </c>
      <c r="G211">
        <v>0.22</v>
      </c>
      <c r="H211">
        <v>206.2</v>
      </c>
      <c r="I211">
        <v>0</v>
      </c>
      <c r="J211">
        <v>5.47</v>
      </c>
      <c r="K211" s="51">
        <v>2.496</v>
      </c>
      <c r="L211" s="60">
        <v>0</v>
      </c>
      <c r="M211" s="60">
        <f t="shared" si="6"/>
        <v>0</v>
      </c>
      <c r="N211" s="60">
        <v>2.083333333333333</v>
      </c>
      <c r="O211" s="60">
        <f t="shared" si="7"/>
        <v>8.2989210679332803</v>
      </c>
      <c r="P211">
        <v>0.47249301189985554</v>
      </c>
      <c r="Q211">
        <v>3.6382587995505333</v>
      </c>
      <c r="R211">
        <v>4.8623097556998864</v>
      </c>
    </row>
    <row r="212" spans="1:18">
      <c r="A212">
        <v>4</v>
      </c>
      <c r="B212" t="s">
        <v>132</v>
      </c>
      <c r="C212" t="s">
        <v>132</v>
      </c>
      <c r="D212" t="s">
        <v>449</v>
      </c>
      <c r="E212" t="s">
        <v>331</v>
      </c>
      <c r="F212">
        <v>0</v>
      </c>
      <c r="G212">
        <v>0.11</v>
      </c>
      <c r="H212">
        <v>199.9</v>
      </c>
      <c r="I212">
        <v>1.32</v>
      </c>
      <c r="J212">
        <v>4</v>
      </c>
      <c r="K212" s="51">
        <v>1.9059999999999999</v>
      </c>
      <c r="L212" s="60">
        <v>0</v>
      </c>
      <c r="M212" s="60">
        <f t="shared" si="6"/>
        <v>0</v>
      </c>
      <c r="N212" s="60">
        <v>2.083333333333333</v>
      </c>
      <c r="O212" s="60">
        <f t="shared" si="7"/>
        <v>8.2989210679332803</v>
      </c>
      <c r="P212">
        <v>0.47517833958497446</v>
      </c>
      <c r="Q212">
        <v>3.3907035099713423</v>
      </c>
      <c r="R212">
        <v>5.1870674024853125</v>
      </c>
    </row>
    <row r="213" spans="1:18">
      <c r="A213">
        <v>4</v>
      </c>
      <c r="B213" t="s">
        <v>132</v>
      </c>
      <c r="C213" t="s">
        <v>132</v>
      </c>
      <c r="D213" t="s">
        <v>449</v>
      </c>
      <c r="E213" t="s">
        <v>331</v>
      </c>
      <c r="F213">
        <v>0</v>
      </c>
      <c r="G213">
        <v>0.22</v>
      </c>
      <c r="H213">
        <v>193.6</v>
      </c>
      <c r="I213">
        <v>0.8</v>
      </c>
      <c r="J213">
        <v>3.93</v>
      </c>
      <c r="K213" s="51">
        <v>2.6539999999999999</v>
      </c>
      <c r="L213" s="60">
        <v>6.25</v>
      </c>
      <c r="M213" s="60">
        <f t="shared" si="6"/>
        <v>14.477512185929923</v>
      </c>
      <c r="N213" s="60">
        <v>8.3333333333333321</v>
      </c>
      <c r="O213" s="60">
        <f t="shared" si="7"/>
        <v>16.778654880960357</v>
      </c>
      <c r="P213">
        <v>0.4830353778547567</v>
      </c>
      <c r="Q213">
        <v>3.5230064126382761</v>
      </c>
      <c r="R213">
        <v>4.7839238782050124</v>
      </c>
    </row>
    <row r="214" spans="1:18">
      <c r="A214">
        <v>4</v>
      </c>
      <c r="B214" t="s">
        <v>132</v>
      </c>
      <c r="C214" t="s">
        <v>132</v>
      </c>
      <c r="D214" t="s">
        <v>449</v>
      </c>
      <c r="E214" t="s">
        <v>331</v>
      </c>
      <c r="F214">
        <v>0</v>
      </c>
      <c r="G214">
        <v>0.27</v>
      </c>
      <c r="H214">
        <v>190</v>
      </c>
      <c r="I214">
        <v>0.69</v>
      </c>
      <c r="J214">
        <v>3.9</v>
      </c>
      <c r="K214" s="51">
        <v>2.456</v>
      </c>
      <c r="L214" s="60">
        <v>0</v>
      </c>
      <c r="M214" s="60">
        <f t="shared" si="6"/>
        <v>0</v>
      </c>
      <c r="N214" s="60">
        <v>6.25</v>
      </c>
      <c r="O214" s="60">
        <f t="shared" si="7"/>
        <v>14.477512185929923</v>
      </c>
      <c r="P214">
        <v>0.45641434556011751</v>
      </c>
      <c r="Q214">
        <v>3.6016425646460064</v>
      </c>
      <c r="R214">
        <v>4.9376595379369901</v>
      </c>
    </row>
    <row r="215" spans="1:18">
      <c r="A215">
        <v>4</v>
      </c>
      <c r="B215" t="s">
        <v>136</v>
      </c>
      <c r="C215" t="s">
        <v>136</v>
      </c>
      <c r="D215" t="s">
        <v>449</v>
      </c>
      <c r="E215" t="s">
        <v>331</v>
      </c>
      <c r="F215">
        <v>3.64</v>
      </c>
      <c r="G215">
        <v>3.75</v>
      </c>
      <c r="H215">
        <v>142.4</v>
      </c>
      <c r="I215">
        <v>1.59</v>
      </c>
      <c r="J215">
        <v>3.66</v>
      </c>
      <c r="K215" s="51">
        <v>7.4610000000000003</v>
      </c>
      <c r="L215" s="60">
        <v>37.5</v>
      </c>
      <c r="M215" s="60">
        <f t="shared" si="6"/>
        <v>37.761243907035038</v>
      </c>
      <c r="N215" s="60">
        <v>70.833333333333343</v>
      </c>
      <c r="O215" s="60">
        <f t="shared" si="7"/>
        <v>57.312159176082048</v>
      </c>
      <c r="P215">
        <v>0.5407302195117285</v>
      </c>
      <c r="Q215">
        <v>4.6236684965954238</v>
      </c>
      <c r="R215">
        <v>4.2173667405109043</v>
      </c>
    </row>
    <row r="216" spans="1:18">
      <c r="A216">
        <v>4</v>
      </c>
      <c r="B216" t="s">
        <v>136</v>
      </c>
      <c r="C216" t="s">
        <v>136</v>
      </c>
      <c r="D216" t="s">
        <v>449</v>
      </c>
      <c r="E216" t="s">
        <v>331</v>
      </c>
      <c r="F216">
        <v>2.2000000000000002</v>
      </c>
      <c r="G216">
        <v>3.05</v>
      </c>
      <c r="H216">
        <v>128.80000000000001</v>
      </c>
      <c r="I216">
        <v>0.94</v>
      </c>
      <c r="J216">
        <v>3.93</v>
      </c>
      <c r="K216" s="51">
        <v>4.6749999999999998</v>
      </c>
      <c r="L216" s="60">
        <v>31.25</v>
      </c>
      <c r="M216" s="60">
        <f t="shared" si="6"/>
        <v>33.987843581478927</v>
      </c>
      <c r="N216" s="60">
        <v>60.416666666666664</v>
      </c>
      <c r="O216" s="60">
        <f t="shared" si="7"/>
        <v>51.012349590282909</v>
      </c>
      <c r="P216">
        <v>0.50324748499693073</v>
      </c>
      <c r="Q216">
        <v>3.6226458480293622</v>
      </c>
      <c r="R216">
        <v>3.8103635561313038</v>
      </c>
    </row>
    <row r="217" spans="1:18">
      <c r="A217">
        <v>4</v>
      </c>
      <c r="B217" t="s">
        <v>136</v>
      </c>
      <c r="C217" t="s">
        <v>136</v>
      </c>
      <c r="D217" t="s">
        <v>449</v>
      </c>
      <c r="E217" t="s">
        <v>331</v>
      </c>
      <c r="F217">
        <v>2.16</v>
      </c>
      <c r="G217">
        <v>2.84</v>
      </c>
      <c r="H217">
        <v>137.30000000000001</v>
      </c>
      <c r="I217">
        <v>1.1200000000000001</v>
      </c>
      <c r="J217">
        <v>3.84</v>
      </c>
      <c r="K217" s="51">
        <v>6.0419999999999998</v>
      </c>
      <c r="L217" s="60">
        <v>37.5</v>
      </c>
      <c r="M217" s="60">
        <f t="shared" si="6"/>
        <v>37.761243907035038</v>
      </c>
      <c r="N217" s="60">
        <v>72.916666666666657</v>
      </c>
      <c r="O217" s="60">
        <f t="shared" si="7"/>
        <v>58.639806367989038</v>
      </c>
      <c r="P217">
        <v>0.4375239831736078</v>
      </c>
      <c r="Q217">
        <v>3.6636554116668192</v>
      </c>
      <c r="R217">
        <v>3.7731580543006706</v>
      </c>
    </row>
    <row r="218" spans="1:18">
      <c r="A218">
        <v>4</v>
      </c>
      <c r="B218" t="s">
        <v>140</v>
      </c>
      <c r="C218" t="s">
        <v>321</v>
      </c>
      <c r="D218" t="s">
        <v>449</v>
      </c>
      <c r="E218" t="s">
        <v>331</v>
      </c>
      <c r="F218">
        <v>0.47</v>
      </c>
      <c r="G218">
        <v>1.2</v>
      </c>
      <c r="H218">
        <v>105.2</v>
      </c>
      <c r="I218">
        <v>2.2799999999999998</v>
      </c>
      <c r="J218">
        <v>3.97</v>
      </c>
      <c r="K218" s="51">
        <v>2.9809999999999999</v>
      </c>
      <c r="L218" s="60">
        <v>35.416666666666671</v>
      </c>
      <c r="M218" s="60">
        <f t="shared" si="6"/>
        <v>36.521118349997934</v>
      </c>
      <c r="N218" s="60">
        <v>62.5</v>
      </c>
      <c r="O218" s="60">
        <f t="shared" si="7"/>
        <v>52.238756092964962</v>
      </c>
      <c r="P218">
        <v>0.3746984152654817</v>
      </c>
      <c r="Q218">
        <v>2.1501939811886563</v>
      </c>
      <c r="R218">
        <v>3.0883500202474585</v>
      </c>
    </row>
    <row r="219" spans="1:18">
      <c r="A219">
        <v>4</v>
      </c>
      <c r="B219" t="s">
        <v>140</v>
      </c>
      <c r="C219" t="s">
        <v>321</v>
      </c>
      <c r="D219" t="s">
        <v>449</v>
      </c>
      <c r="E219" t="s">
        <v>331</v>
      </c>
      <c r="F219">
        <v>0.16</v>
      </c>
      <c r="G219">
        <v>0.92</v>
      </c>
      <c r="H219">
        <v>123.9</v>
      </c>
      <c r="I219">
        <v>0</v>
      </c>
      <c r="J219">
        <v>4.07</v>
      </c>
      <c r="K219" s="51">
        <v>2.4119999999999999</v>
      </c>
      <c r="L219" s="60">
        <v>27.083333333333332</v>
      </c>
      <c r="M219" s="60">
        <f t="shared" si="6"/>
        <v>31.360193632010947</v>
      </c>
      <c r="N219" s="60">
        <v>58.333333333333336</v>
      </c>
      <c r="O219" s="60">
        <f t="shared" si="7"/>
        <v>49.797034113430229</v>
      </c>
      <c r="P219">
        <v>0.2889737048494998</v>
      </c>
      <c r="Q219">
        <v>2.580960744574647</v>
      </c>
      <c r="R219">
        <v>3.269383867453461</v>
      </c>
    </row>
    <row r="220" spans="1:18">
      <c r="A220">
        <v>4</v>
      </c>
      <c r="B220" t="s">
        <v>140</v>
      </c>
      <c r="C220" t="s">
        <v>321</v>
      </c>
      <c r="D220" t="s">
        <v>449</v>
      </c>
      <c r="E220" t="s">
        <v>331</v>
      </c>
      <c r="F220">
        <v>0.89</v>
      </c>
      <c r="G220">
        <v>1.47</v>
      </c>
      <c r="H220">
        <v>126.2</v>
      </c>
      <c r="I220">
        <v>0</v>
      </c>
      <c r="J220">
        <v>3.84</v>
      </c>
      <c r="K220" s="51">
        <v>4.03</v>
      </c>
      <c r="L220" s="60">
        <v>27.083333333333332</v>
      </c>
      <c r="M220" s="60">
        <f t="shared" si="6"/>
        <v>31.360193632010947</v>
      </c>
      <c r="N220" s="60">
        <v>70.833333333333343</v>
      </c>
      <c r="O220" s="60">
        <f t="shared" si="7"/>
        <v>57.312159176082048</v>
      </c>
      <c r="P220">
        <v>0.33603225812061233</v>
      </c>
      <c r="Q220">
        <v>3.5268790782480011</v>
      </c>
      <c r="R220">
        <v>3.3776858444963449</v>
      </c>
    </row>
    <row r="221" spans="1:18">
      <c r="A221">
        <v>4</v>
      </c>
      <c r="B221" t="s">
        <v>144</v>
      </c>
      <c r="C221" t="s">
        <v>322</v>
      </c>
      <c r="D221" t="s">
        <v>449</v>
      </c>
      <c r="E221" t="s">
        <v>331</v>
      </c>
      <c r="F221">
        <v>0.65</v>
      </c>
      <c r="G221">
        <v>0.95</v>
      </c>
      <c r="H221">
        <v>171.9</v>
      </c>
      <c r="I221">
        <v>0</v>
      </c>
      <c r="J221">
        <v>3.86</v>
      </c>
      <c r="K221" s="51">
        <v>3.3119999999999998</v>
      </c>
      <c r="L221" s="60">
        <v>12.5</v>
      </c>
      <c r="M221" s="60">
        <f t="shared" si="6"/>
        <v>20.704811054635432</v>
      </c>
      <c r="N221" s="60">
        <v>56.25</v>
      </c>
      <c r="O221" s="60">
        <f t="shared" si="7"/>
        <v>48.590377890729144</v>
      </c>
      <c r="P221">
        <v>0.36240909209476063</v>
      </c>
      <c r="Q221">
        <v>3.778277128683174</v>
      </c>
      <c r="R221">
        <v>4.2682592072597334</v>
      </c>
    </row>
    <row r="222" spans="1:18">
      <c r="A222">
        <v>4</v>
      </c>
      <c r="B222" t="s">
        <v>144</v>
      </c>
      <c r="C222" t="s">
        <v>322</v>
      </c>
      <c r="D222" t="s">
        <v>449</v>
      </c>
      <c r="E222" t="s">
        <v>331</v>
      </c>
      <c r="F222">
        <v>0</v>
      </c>
      <c r="G222">
        <v>0.54</v>
      </c>
      <c r="H222">
        <v>153.30000000000001</v>
      </c>
      <c r="I222">
        <v>0</v>
      </c>
      <c r="J222">
        <v>3.91</v>
      </c>
      <c r="K222" s="51">
        <v>2.6829999999999998</v>
      </c>
      <c r="L222" s="60">
        <v>20.833333333333336</v>
      </c>
      <c r="M222" s="60">
        <f t="shared" si="6"/>
        <v>27.157332643673978</v>
      </c>
      <c r="N222" s="60">
        <v>50</v>
      </c>
      <c r="O222" s="60">
        <f t="shared" si="7"/>
        <v>45.000000000000007</v>
      </c>
      <c r="P222">
        <v>0.2941437077536001</v>
      </c>
      <c r="Q222">
        <v>3.8349493070935536</v>
      </c>
      <c r="R222">
        <v>3.9382924061722386</v>
      </c>
    </row>
    <row r="223" spans="1:18">
      <c r="A223">
        <v>4</v>
      </c>
      <c r="B223" t="s">
        <v>144</v>
      </c>
      <c r="C223" t="s">
        <v>322</v>
      </c>
      <c r="D223" t="s">
        <v>449</v>
      </c>
      <c r="E223" t="s">
        <v>331</v>
      </c>
      <c r="F223">
        <v>0</v>
      </c>
      <c r="G223">
        <v>0.34</v>
      </c>
      <c r="H223">
        <v>188.1</v>
      </c>
      <c r="I223">
        <v>0</v>
      </c>
      <c r="J223">
        <v>3.89</v>
      </c>
      <c r="K223" s="51">
        <v>2.5059999999999998</v>
      </c>
      <c r="L223" s="60">
        <v>14.583333333333334</v>
      </c>
      <c r="M223" s="60">
        <f t="shared" si="6"/>
        <v>22.450263980344491</v>
      </c>
      <c r="N223" s="60">
        <v>45.833333333333329</v>
      </c>
      <c r="O223" s="60">
        <f t="shared" si="7"/>
        <v>42.609904076400426</v>
      </c>
      <c r="P223">
        <v>0.3134225674681636</v>
      </c>
      <c r="Q223">
        <v>3.5278050575871158</v>
      </c>
      <c r="R223">
        <v>4.541859822424958</v>
      </c>
    </row>
    <row r="224" spans="1:18">
      <c r="A224">
        <v>4</v>
      </c>
      <c r="B224" t="s">
        <v>148</v>
      </c>
      <c r="C224" t="s">
        <v>148</v>
      </c>
      <c r="D224" t="s">
        <v>449</v>
      </c>
      <c r="E224" t="s">
        <v>331</v>
      </c>
      <c r="F224">
        <v>0</v>
      </c>
      <c r="G224">
        <v>0.65</v>
      </c>
      <c r="H224">
        <v>132.9</v>
      </c>
      <c r="I224">
        <v>0</v>
      </c>
      <c r="J224">
        <v>3.82</v>
      </c>
      <c r="K224" s="51">
        <v>1.6140000000000001</v>
      </c>
      <c r="L224" s="60">
        <v>8.3333333333333321</v>
      </c>
      <c r="M224" s="60">
        <f t="shared" si="6"/>
        <v>16.778654880960357</v>
      </c>
      <c r="N224" s="60">
        <v>50</v>
      </c>
      <c r="O224" s="60">
        <f t="shared" si="7"/>
        <v>45.000000000000007</v>
      </c>
      <c r="P224">
        <v>9.7067978554870968E-2</v>
      </c>
      <c r="Q224">
        <v>1.5814077010496721</v>
      </c>
      <c r="R224">
        <v>2.3563054219220079</v>
      </c>
    </row>
    <row r="225" spans="1:18">
      <c r="A225">
        <v>4</v>
      </c>
      <c r="B225" t="s">
        <v>148</v>
      </c>
      <c r="C225" t="s">
        <v>148</v>
      </c>
      <c r="D225" t="s">
        <v>449</v>
      </c>
      <c r="E225" t="s">
        <v>331</v>
      </c>
      <c r="F225">
        <v>0</v>
      </c>
      <c r="G225">
        <v>0.67</v>
      </c>
      <c r="H225">
        <v>107.9</v>
      </c>
      <c r="I225">
        <v>0</v>
      </c>
      <c r="J225">
        <v>3.73</v>
      </c>
      <c r="K225" s="51">
        <v>2.548</v>
      </c>
      <c r="L225" s="60">
        <v>12.5</v>
      </c>
      <c r="M225" s="60">
        <f t="shared" si="6"/>
        <v>20.704811054635432</v>
      </c>
      <c r="N225" s="60">
        <v>39.583333333333329</v>
      </c>
      <c r="O225" s="60">
        <f t="shared" si="7"/>
        <v>38.987650409717091</v>
      </c>
      <c r="P225">
        <v>0.16245762882815201</v>
      </c>
      <c r="Q225">
        <v>3.9690064439755925</v>
      </c>
      <c r="R225">
        <v>3.145214398891226</v>
      </c>
    </row>
    <row r="226" spans="1:18">
      <c r="A226">
        <v>4</v>
      </c>
      <c r="B226" t="s">
        <v>148</v>
      </c>
      <c r="C226" t="s">
        <v>148</v>
      </c>
      <c r="D226" t="s">
        <v>449</v>
      </c>
      <c r="E226" t="s">
        <v>331</v>
      </c>
      <c r="F226">
        <v>0</v>
      </c>
      <c r="G226">
        <v>0.59</v>
      </c>
      <c r="H226">
        <v>173.1</v>
      </c>
      <c r="I226">
        <v>0</v>
      </c>
      <c r="J226">
        <v>4.03</v>
      </c>
      <c r="K226" s="51">
        <v>2.1859999999999999</v>
      </c>
      <c r="L226" s="60">
        <v>16.666666666666664</v>
      </c>
      <c r="M226" s="60">
        <f t="shared" si="6"/>
        <v>24.094842552110698</v>
      </c>
      <c r="N226" s="60">
        <v>47.916666666666671</v>
      </c>
      <c r="O226" s="60">
        <f t="shared" si="7"/>
        <v>43.805992268365614</v>
      </c>
      <c r="P226">
        <v>0.23859883592528636</v>
      </c>
      <c r="Q226">
        <v>2.7588368899056106</v>
      </c>
      <c r="R226">
        <v>3.724223154241233</v>
      </c>
    </row>
    <row r="227" spans="1:18">
      <c r="A227">
        <v>4</v>
      </c>
      <c r="B227" t="s">
        <v>152</v>
      </c>
      <c r="C227" t="s">
        <v>323</v>
      </c>
      <c r="D227" t="s">
        <v>449</v>
      </c>
      <c r="E227" t="s">
        <v>331</v>
      </c>
      <c r="F227">
        <v>0</v>
      </c>
      <c r="G227">
        <v>0.47</v>
      </c>
      <c r="H227">
        <v>141.9</v>
      </c>
      <c r="I227">
        <v>1.2</v>
      </c>
      <c r="J227">
        <v>4.04</v>
      </c>
      <c r="K227" s="51">
        <v>1.9079999999999999</v>
      </c>
      <c r="L227" s="60">
        <v>20.833333333333336</v>
      </c>
      <c r="M227" s="60">
        <f t="shared" si="6"/>
        <v>27.157332643673978</v>
      </c>
      <c r="N227" s="60">
        <v>50</v>
      </c>
      <c r="O227" s="60">
        <f t="shared" si="7"/>
        <v>45.000000000000007</v>
      </c>
      <c r="P227">
        <v>0.21205891845738364</v>
      </c>
      <c r="Q227">
        <v>2.4082137985240761</v>
      </c>
      <c r="R227">
        <v>3.5922074170138907</v>
      </c>
    </row>
    <row r="228" spans="1:18">
      <c r="A228">
        <v>4</v>
      </c>
      <c r="B228" t="s">
        <v>152</v>
      </c>
      <c r="C228" t="s">
        <v>323</v>
      </c>
      <c r="D228" t="s">
        <v>449</v>
      </c>
      <c r="E228" t="s">
        <v>331</v>
      </c>
      <c r="F228">
        <v>0</v>
      </c>
      <c r="G228">
        <v>0.8</v>
      </c>
      <c r="H228">
        <v>109.6</v>
      </c>
      <c r="I228">
        <v>2.16</v>
      </c>
      <c r="J228">
        <v>3.87</v>
      </c>
      <c r="K228" s="51">
        <v>2.5510000000000002</v>
      </c>
      <c r="L228" s="60">
        <v>29.166666666666668</v>
      </c>
      <c r="M228" s="60">
        <f t="shared" si="6"/>
        <v>32.687840823917959</v>
      </c>
      <c r="N228" s="60">
        <v>58.333333333333336</v>
      </c>
      <c r="O228" s="60">
        <f t="shared" si="7"/>
        <v>49.797034113430229</v>
      </c>
      <c r="P228">
        <v>0.37875159508146261</v>
      </c>
      <c r="Q228">
        <v>2.7473481243336817</v>
      </c>
      <c r="R228">
        <v>3.5986956571255408</v>
      </c>
    </row>
    <row r="229" spans="1:18">
      <c r="A229">
        <v>4</v>
      </c>
      <c r="B229" t="s">
        <v>152</v>
      </c>
      <c r="C229" t="s">
        <v>323</v>
      </c>
      <c r="D229" t="s">
        <v>449</v>
      </c>
      <c r="E229" t="s">
        <v>331</v>
      </c>
      <c r="F229">
        <v>0</v>
      </c>
      <c r="G229">
        <v>0.6</v>
      </c>
      <c r="H229">
        <v>155.30000000000001</v>
      </c>
      <c r="I229">
        <v>2.12</v>
      </c>
      <c r="J229">
        <v>3.94</v>
      </c>
      <c r="K229" s="51">
        <v>2.3410000000000002</v>
      </c>
      <c r="L229" s="60">
        <v>25</v>
      </c>
      <c r="M229" s="60">
        <f t="shared" si="6"/>
        <v>30.000000000000004</v>
      </c>
      <c r="N229" s="60">
        <v>50</v>
      </c>
      <c r="O229" s="60">
        <f t="shared" si="7"/>
        <v>45.000000000000007</v>
      </c>
      <c r="P229">
        <v>0.22763211135051101</v>
      </c>
      <c r="Q229">
        <v>2.7767962965686914</v>
      </c>
      <c r="R229">
        <v>3.5564282185422318</v>
      </c>
    </row>
    <row r="230" spans="1:18">
      <c r="A230">
        <v>4</v>
      </c>
      <c r="B230" t="s">
        <v>375</v>
      </c>
      <c r="C230" t="s">
        <v>375</v>
      </c>
      <c r="D230" t="s">
        <v>449</v>
      </c>
      <c r="E230" t="s">
        <v>331</v>
      </c>
      <c r="F230">
        <v>2.72</v>
      </c>
      <c r="G230">
        <v>3.1</v>
      </c>
      <c r="H230">
        <v>108</v>
      </c>
      <c r="I230">
        <v>2.42</v>
      </c>
      <c r="J230">
        <v>3.59</v>
      </c>
      <c r="K230" s="51">
        <v>6.7130000000000001</v>
      </c>
      <c r="L230" s="60">
        <v>29.166666666666668</v>
      </c>
      <c r="M230" s="60">
        <f t="shared" si="6"/>
        <v>32.687840823917959</v>
      </c>
      <c r="N230" s="60">
        <v>50</v>
      </c>
      <c r="O230" s="60">
        <f t="shared" si="7"/>
        <v>45.000000000000007</v>
      </c>
      <c r="P230">
        <v>0.33827529653994698</v>
      </c>
      <c r="Q230">
        <v>4.6893606963535515</v>
      </c>
      <c r="R230">
        <v>3.2278791864630199</v>
      </c>
    </row>
    <row r="231" spans="1:18">
      <c r="A231">
        <v>4</v>
      </c>
      <c r="B231" t="s">
        <v>375</v>
      </c>
      <c r="C231" t="s">
        <v>375</v>
      </c>
      <c r="D231" t="s">
        <v>449</v>
      </c>
      <c r="E231" t="s">
        <v>331</v>
      </c>
      <c r="F231">
        <v>2.72</v>
      </c>
      <c r="G231">
        <v>2.9</v>
      </c>
      <c r="H231">
        <v>115.4</v>
      </c>
      <c r="I231">
        <v>2.41</v>
      </c>
      <c r="J231">
        <v>3.68</v>
      </c>
      <c r="K231" s="51">
        <v>5.7859999999999996</v>
      </c>
      <c r="L231" s="60">
        <v>27.083333333333332</v>
      </c>
      <c r="M231" s="60">
        <f t="shared" si="6"/>
        <v>31.360193632010947</v>
      </c>
      <c r="N231" s="60">
        <v>54.166666666666664</v>
      </c>
      <c r="O231" s="60">
        <f t="shared" si="7"/>
        <v>47.390095923599581</v>
      </c>
      <c r="P231">
        <v>0.45957184692087111</v>
      </c>
      <c r="Q231">
        <v>4.1970835926123229</v>
      </c>
      <c r="R231">
        <v>3.4943984241436779</v>
      </c>
    </row>
    <row r="232" spans="1:18">
      <c r="A232">
        <v>4</v>
      </c>
      <c r="B232" t="s">
        <v>375</v>
      </c>
      <c r="C232" t="s">
        <v>375</v>
      </c>
      <c r="D232" t="s">
        <v>449</v>
      </c>
      <c r="E232" t="s">
        <v>331</v>
      </c>
      <c r="F232">
        <v>2.42</v>
      </c>
      <c r="G232">
        <v>3.15</v>
      </c>
      <c r="H232">
        <v>145.80000000000001</v>
      </c>
      <c r="I232">
        <v>2.8</v>
      </c>
      <c r="J232">
        <v>3.63</v>
      </c>
      <c r="K232" s="51">
        <v>6.4980000000000002</v>
      </c>
      <c r="L232" s="60">
        <v>37.5</v>
      </c>
      <c r="M232" s="60">
        <f t="shared" si="6"/>
        <v>37.761243907035038</v>
      </c>
      <c r="N232" s="60">
        <v>60.416666666666664</v>
      </c>
      <c r="O232" s="60">
        <f t="shared" si="7"/>
        <v>51.012349590282909</v>
      </c>
      <c r="P232">
        <v>0.44952300064864037</v>
      </c>
      <c r="Q232">
        <v>4.3977541024704676</v>
      </c>
      <c r="R232">
        <v>4.1022618191746965</v>
      </c>
    </row>
    <row r="233" spans="1:18">
      <c r="A233">
        <v>4</v>
      </c>
      <c r="B233" t="s">
        <v>160</v>
      </c>
      <c r="C233" t="s">
        <v>160</v>
      </c>
      <c r="D233" t="s">
        <v>449</v>
      </c>
      <c r="E233" t="s">
        <v>331</v>
      </c>
      <c r="F233">
        <v>0</v>
      </c>
      <c r="G233">
        <v>0.63</v>
      </c>
      <c r="H233">
        <v>149.5</v>
      </c>
      <c r="I233">
        <v>4.29</v>
      </c>
      <c r="J233">
        <v>4.0599999999999996</v>
      </c>
      <c r="K233" s="51">
        <v>2.0219999999999998</v>
      </c>
      <c r="L233" s="60">
        <v>16.666666666666664</v>
      </c>
      <c r="M233" s="60">
        <f t="shared" si="6"/>
        <v>24.094842552110698</v>
      </c>
      <c r="N233" s="60">
        <v>54.166666666666664</v>
      </c>
      <c r="O233" s="60">
        <f t="shared" si="7"/>
        <v>47.390095923599581</v>
      </c>
      <c r="P233">
        <v>0.3128052409446847</v>
      </c>
      <c r="Q233">
        <v>2.1978472062782077</v>
      </c>
      <c r="R233">
        <v>3.8753387683115519</v>
      </c>
    </row>
    <row r="234" spans="1:18">
      <c r="A234">
        <v>4</v>
      </c>
      <c r="B234" t="s">
        <v>160</v>
      </c>
      <c r="C234" t="s">
        <v>160</v>
      </c>
      <c r="D234" t="s">
        <v>449</v>
      </c>
      <c r="E234" t="s">
        <v>331</v>
      </c>
      <c r="F234">
        <v>0</v>
      </c>
      <c r="G234">
        <v>0.64</v>
      </c>
      <c r="H234">
        <v>148.80000000000001</v>
      </c>
      <c r="I234">
        <v>4.16</v>
      </c>
      <c r="J234">
        <v>3.93</v>
      </c>
      <c r="K234" s="51">
        <v>1.903</v>
      </c>
      <c r="L234" s="60">
        <v>10.416666666666668</v>
      </c>
      <c r="M234" s="60">
        <f t="shared" si="6"/>
        <v>18.829231003103928</v>
      </c>
      <c r="N234" s="60">
        <v>41.666666666666671</v>
      </c>
      <c r="O234" s="60">
        <f t="shared" si="7"/>
        <v>40.202965886569778</v>
      </c>
      <c r="P234">
        <v>0.22905802462051059</v>
      </c>
      <c r="Q234">
        <v>2.2912488304465692</v>
      </c>
      <c r="R234">
        <v>3.7661790890243774</v>
      </c>
    </row>
    <row r="235" spans="1:18">
      <c r="A235">
        <v>4</v>
      </c>
      <c r="B235" t="s">
        <v>160</v>
      </c>
      <c r="C235" t="s">
        <v>160</v>
      </c>
      <c r="D235" t="s">
        <v>449</v>
      </c>
      <c r="E235" t="s">
        <v>331</v>
      </c>
      <c r="F235">
        <v>0</v>
      </c>
      <c r="G235">
        <v>0.71</v>
      </c>
      <c r="H235">
        <v>139.80000000000001</v>
      </c>
      <c r="I235">
        <v>5.12</v>
      </c>
      <c r="J235">
        <v>4.18</v>
      </c>
      <c r="K235" s="51">
        <v>1.9970000000000001</v>
      </c>
      <c r="L235" s="60">
        <v>29.166666666666668</v>
      </c>
      <c r="M235" s="60">
        <f t="shared" si="6"/>
        <v>32.687840823917959</v>
      </c>
      <c r="N235" s="60">
        <v>58.333333333333336</v>
      </c>
      <c r="O235" s="60">
        <f t="shared" si="7"/>
        <v>49.797034113430229</v>
      </c>
      <c r="P235">
        <v>0.23437403421273667</v>
      </c>
      <c r="Q235">
        <v>2.1429928096846376</v>
      </c>
      <c r="R235">
        <v>3.5583004417247288</v>
      </c>
    </row>
    <row r="236" spans="1:18">
      <c r="A236">
        <v>4</v>
      </c>
      <c r="B236" t="s">
        <v>372</v>
      </c>
      <c r="C236" t="s">
        <v>372</v>
      </c>
      <c r="D236" t="s">
        <v>453</v>
      </c>
      <c r="E236" t="s">
        <v>335</v>
      </c>
      <c r="F236">
        <v>1.81</v>
      </c>
      <c r="G236">
        <v>0.57999999999999996</v>
      </c>
      <c r="H236">
        <v>190.6</v>
      </c>
      <c r="I236">
        <v>2.15</v>
      </c>
      <c r="J236">
        <v>3.59</v>
      </c>
      <c r="K236" s="51">
        <v>3.0030000000000001</v>
      </c>
      <c r="L236" s="60">
        <v>16.666666666666664</v>
      </c>
      <c r="M236" s="60">
        <f t="shared" si="6"/>
        <v>24.094842552110698</v>
      </c>
      <c r="N236" s="60">
        <v>45.833333333333329</v>
      </c>
      <c r="O236" s="60">
        <f t="shared" si="7"/>
        <v>42.609904076400426</v>
      </c>
      <c r="P236">
        <v>0.71022690762004625</v>
      </c>
      <c r="Q236">
        <v>3.756419423764302</v>
      </c>
      <c r="R236">
        <v>5.1986165125558026</v>
      </c>
    </row>
    <row r="237" spans="1:18">
      <c r="A237">
        <v>4</v>
      </c>
      <c r="B237" t="s">
        <v>372</v>
      </c>
      <c r="C237" t="s">
        <v>372</v>
      </c>
      <c r="D237" t="s">
        <v>453</v>
      </c>
      <c r="E237" t="s">
        <v>335</v>
      </c>
      <c r="F237">
        <v>1.62</v>
      </c>
      <c r="G237">
        <v>0.54</v>
      </c>
      <c r="H237">
        <v>219.7</v>
      </c>
      <c r="I237">
        <v>1.93</v>
      </c>
      <c r="J237">
        <v>3.45</v>
      </c>
      <c r="K237" s="51">
        <v>2.9350000000000001</v>
      </c>
      <c r="L237" s="60">
        <v>20.833333333333336</v>
      </c>
      <c r="M237" s="60">
        <f t="shared" si="6"/>
        <v>27.157332643673978</v>
      </c>
      <c r="N237" s="60">
        <v>41.666666666666671</v>
      </c>
      <c r="O237" s="60">
        <f t="shared" si="7"/>
        <v>40.202965886569778</v>
      </c>
      <c r="P237">
        <v>0.76638398293015031</v>
      </c>
      <c r="Q237">
        <v>3.711956395082983</v>
      </c>
      <c r="R237">
        <v>4.9921705693781435</v>
      </c>
    </row>
    <row r="238" spans="1:18">
      <c r="A238">
        <v>4</v>
      </c>
      <c r="B238" t="s">
        <v>372</v>
      </c>
      <c r="C238" t="s">
        <v>372</v>
      </c>
      <c r="D238" t="s">
        <v>453</v>
      </c>
      <c r="E238" t="s">
        <v>335</v>
      </c>
      <c r="F238">
        <v>1.36</v>
      </c>
      <c r="G238">
        <v>0.37</v>
      </c>
      <c r="H238">
        <v>198.1</v>
      </c>
      <c r="I238">
        <v>1.67</v>
      </c>
      <c r="J238">
        <v>3.51</v>
      </c>
      <c r="K238" s="51">
        <v>2.7959999999999998</v>
      </c>
      <c r="L238" s="60">
        <v>18.75</v>
      </c>
      <c r="M238" s="60">
        <f t="shared" si="6"/>
        <v>25.658906273255283</v>
      </c>
      <c r="N238" s="60">
        <v>50</v>
      </c>
      <c r="O238" s="60">
        <f t="shared" si="7"/>
        <v>45.000000000000007</v>
      </c>
      <c r="P238">
        <v>0.94797617246530297</v>
      </c>
      <c r="Q238">
        <v>3.6613329871305953</v>
      </c>
      <c r="R238">
        <v>5.351431529207157</v>
      </c>
    </row>
    <row r="239" spans="1:18">
      <c r="A239">
        <v>4</v>
      </c>
      <c r="B239" t="s">
        <v>168</v>
      </c>
      <c r="C239" t="s">
        <v>168</v>
      </c>
      <c r="D239" t="s">
        <v>453</v>
      </c>
      <c r="E239" t="s">
        <v>335</v>
      </c>
      <c r="F239">
        <v>1.28</v>
      </c>
      <c r="G239">
        <v>0.42</v>
      </c>
      <c r="H239">
        <v>201.8</v>
      </c>
      <c r="I239">
        <v>1.51</v>
      </c>
      <c r="J239">
        <v>4.54</v>
      </c>
      <c r="K239" s="51">
        <v>2.5539999999999998</v>
      </c>
      <c r="L239" s="60">
        <v>12.5</v>
      </c>
      <c r="M239" s="60">
        <f t="shared" si="6"/>
        <v>20.704811054635432</v>
      </c>
      <c r="N239" s="60">
        <v>35.416666666666671</v>
      </c>
      <c r="O239" s="60">
        <f t="shared" si="7"/>
        <v>36.521118349997934</v>
      </c>
      <c r="P239">
        <v>0.80276953268330176</v>
      </c>
      <c r="Q239">
        <v>3.1852172667336474</v>
      </c>
      <c r="R239">
        <v>4.8414112644491096</v>
      </c>
    </row>
    <row r="240" spans="1:18">
      <c r="A240">
        <v>4</v>
      </c>
      <c r="B240" t="s">
        <v>168</v>
      </c>
      <c r="C240" t="s">
        <v>168</v>
      </c>
      <c r="D240" t="s">
        <v>453</v>
      </c>
      <c r="E240" t="s">
        <v>335</v>
      </c>
      <c r="F240">
        <v>1.68</v>
      </c>
      <c r="G240">
        <v>0.59</v>
      </c>
      <c r="H240">
        <v>185.1</v>
      </c>
      <c r="I240">
        <v>1.47</v>
      </c>
      <c r="J240">
        <v>3.52</v>
      </c>
      <c r="K240" s="51">
        <v>2.996</v>
      </c>
      <c r="L240" s="60">
        <v>22.916666666666664</v>
      </c>
      <c r="M240" s="60">
        <f t="shared" si="6"/>
        <v>28.601415852088177</v>
      </c>
      <c r="N240" s="60">
        <v>45.833333333333329</v>
      </c>
      <c r="O240" s="60">
        <f t="shared" si="7"/>
        <v>42.609904076400426</v>
      </c>
      <c r="P240">
        <v>0.72680080132301761</v>
      </c>
      <c r="Q240">
        <v>3.2052497136472731</v>
      </c>
      <c r="R240">
        <v>4.5931576708315349</v>
      </c>
    </row>
    <row r="241" spans="1:18">
      <c r="A241">
        <v>4</v>
      </c>
      <c r="B241" t="s">
        <v>168</v>
      </c>
      <c r="C241" t="s">
        <v>168</v>
      </c>
      <c r="D241" t="s">
        <v>453</v>
      </c>
      <c r="E241" t="s">
        <v>335</v>
      </c>
      <c r="F241">
        <v>1.34</v>
      </c>
      <c r="G241">
        <v>0.59</v>
      </c>
      <c r="H241">
        <v>164.6</v>
      </c>
      <c r="I241">
        <v>1.37</v>
      </c>
      <c r="J241">
        <v>3.41</v>
      </c>
      <c r="K241" s="51">
        <v>2.9649999999999999</v>
      </c>
      <c r="L241" s="60">
        <v>18.75</v>
      </c>
      <c r="M241" s="60">
        <f t="shared" si="6"/>
        <v>25.658906273255283</v>
      </c>
      <c r="N241" s="60">
        <v>47.916666666666671</v>
      </c>
      <c r="O241" s="60">
        <f t="shared" si="7"/>
        <v>43.805992268365614</v>
      </c>
      <c r="P241">
        <v>0.75771323487215869</v>
      </c>
      <c r="Q241">
        <v>3.6038421660864999</v>
      </c>
      <c r="R241">
        <v>4.4565493861394359</v>
      </c>
    </row>
    <row r="242" spans="1:18">
      <c r="A242">
        <v>4</v>
      </c>
      <c r="B242" t="s">
        <v>373</v>
      </c>
      <c r="C242" t="s">
        <v>373</v>
      </c>
      <c r="D242" t="s">
        <v>453</v>
      </c>
      <c r="E242" t="s">
        <v>335</v>
      </c>
      <c r="F242">
        <v>1.91</v>
      </c>
      <c r="G242">
        <v>0.63</v>
      </c>
      <c r="H242">
        <v>186</v>
      </c>
      <c r="I242">
        <v>2.14</v>
      </c>
      <c r="J242">
        <v>3.48</v>
      </c>
      <c r="K242" s="51">
        <v>3.2010000000000001</v>
      </c>
      <c r="L242" s="60">
        <v>22.916666666666664</v>
      </c>
      <c r="M242" s="60">
        <f t="shared" si="6"/>
        <v>28.601415852088177</v>
      </c>
      <c r="N242" s="60">
        <v>47.916666666666671</v>
      </c>
      <c r="O242" s="60">
        <f t="shared" si="7"/>
        <v>43.805992268365614</v>
      </c>
      <c r="P242">
        <v>0.71948936699307364</v>
      </c>
      <c r="Q242">
        <v>4.1864022553914575</v>
      </c>
      <c r="R242">
        <v>4.5031330725839318</v>
      </c>
    </row>
    <row r="243" spans="1:18">
      <c r="A243">
        <v>4</v>
      </c>
      <c r="B243" t="s">
        <v>373</v>
      </c>
      <c r="C243" t="s">
        <v>373</v>
      </c>
      <c r="D243" t="s">
        <v>453</v>
      </c>
      <c r="E243" t="s">
        <v>335</v>
      </c>
      <c r="F243">
        <v>1.62</v>
      </c>
      <c r="G243">
        <v>0.48</v>
      </c>
      <c r="H243">
        <v>165.6</v>
      </c>
      <c r="I243">
        <v>1.2</v>
      </c>
      <c r="J243">
        <v>3.4</v>
      </c>
      <c r="K243" s="51">
        <v>2.976</v>
      </c>
      <c r="L243" s="60">
        <v>25</v>
      </c>
      <c r="M243" s="60">
        <f t="shared" si="6"/>
        <v>30.000000000000004</v>
      </c>
      <c r="N243" s="60">
        <v>41.666666666666671</v>
      </c>
      <c r="O243" s="60">
        <f t="shared" si="7"/>
        <v>40.202965886569778</v>
      </c>
      <c r="P243">
        <v>0.62168367043504114</v>
      </c>
      <c r="Q243">
        <v>3.7611401027480267</v>
      </c>
      <c r="R243">
        <v>4.0973172297439993</v>
      </c>
    </row>
    <row r="244" spans="1:18">
      <c r="A244">
        <v>4</v>
      </c>
      <c r="B244" t="s">
        <v>373</v>
      </c>
      <c r="C244" t="s">
        <v>373</v>
      </c>
      <c r="D244" t="s">
        <v>453</v>
      </c>
      <c r="E244" t="s">
        <v>335</v>
      </c>
      <c r="F244">
        <v>1.08</v>
      </c>
      <c r="G244">
        <v>0.41</v>
      </c>
      <c r="H244">
        <v>177.1</v>
      </c>
      <c r="I244">
        <v>1.1000000000000001</v>
      </c>
      <c r="J244">
        <v>3.52</v>
      </c>
      <c r="K244" s="51">
        <v>2.657</v>
      </c>
      <c r="L244" s="60">
        <v>22.916666666666664</v>
      </c>
      <c r="M244" s="60">
        <f t="shared" si="6"/>
        <v>28.601415852088177</v>
      </c>
      <c r="N244" s="60">
        <v>50</v>
      </c>
      <c r="O244" s="60">
        <f t="shared" si="7"/>
        <v>45.000000000000007</v>
      </c>
      <c r="P244">
        <v>0.7684314919250359</v>
      </c>
      <c r="Q244">
        <v>3.7642128161951249</v>
      </c>
      <c r="R244">
        <v>4.4516592031943842</v>
      </c>
    </row>
    <row r="245" spans="1:18">
      <c r="A245">
        <v>4</v>
      </c>
      <c r="B245" t="s">
        <v>351</v>
      </c>
      <c r="C245" t="s">
        <v>324</v>
      </c>
      <c r="D245" t="s">
        <v>336</v>
      </c>
      <c r="E245" t="s">
        <v>336</v>
      </c>
      <c r="F245">
        <v>0</v>
      </c>
      <c r="G245">
        <v>0.26</v>
      </c>
      <c r="H245">
        <v>183.5</v>
      </c>
      <c r="I245">
        <v>1.08</v>
      </c>
      <c r="J245">
        <v>4.1100000000000003</v>
      </c>
      <c r="K245" s="51">
        <v>1.647</v>
      </c>
      <c r="L245" s="60">
        <v>0</v>
      </c>
      <c r="M245" s="60">
        <f t="shared" si="6"/>
        <v>0</v>
      </c>
      <c r="N245" s="60">
        <v>0</v>
      </c>
      <c r="O245">
        <f t="shared" si="7"/>
        <v>0</v>
      </c>
      <c r="P245">
        <v>0.40266253832282117</v>
      </c>
      <c r="Q245">
        <v>2.4743043723231377</v>
      </c>
      <c r="R245">
        <v>4.4018740684475111</v>
      </c>
    </row>
    <row r="246" spans="1:18">
      <c r="A246">
        <v>4</v>
      </c>
      <c r="B246" t="s">
        <v>351</v>
      </c>
      <c r="C246" t="s">
        <v>324</v>
      </c>
      <c r="D246" t="s">
        <v>336</v>
      </c>
      <c r="E246" t="s">
        <v>336</v>
      </c>
      <c r="F246">
        <v>0</v>
      </c>
      <c r="G246">
        <v>0.37</v>
      </c>
      <c r="H246">
        <v>176.5</v>
      </c>
      <c r="I246">
        <v>0.35</v>
      </c>
      <c r="J246">
        <v>4.08</v>
      </c>
      <c r="K246" s="51">
        <v>1.8080000000000001</v>
      </c>
      <c r="L246" s="60">
        <v>0</v>
      </c>
      <c r="M246" s="60">
        <f t="shared" si="6"/>
        <v>0</v>
      </c>
      <c r="N246" s="60">
        <v>0</v>
      </c>
      <c r="O246">
        <f t="shared" si="7"/>
        <v>0</v>
      </c>
      <c r="P246" t="e">
        <v>#VALUE!</v>
      </c>
      <c r="Q246" t="e">
        <v>#VALUE!</v>
      </c>
      <c r="R246" t="e">
        <v>#VALUE!</v>
      </c>
    </row>
    <row r="247" spans="1:18">
      <c r="A247">
        <v>4</v>
      </c>
      <c r="B247" t="s">
        <v>351</v>
      </c>
      <c r="C247" t="s">
        <v>324</v>
      </c>
      <c r="D247" t="s">
        <v>336</v>
      </c>
      <c r="E247" t="s">
        <v>336</v>
      </c>
      <c r="F247">
        <v>0</v>
      </c>
      <c r="G247">
        <v>0.34</v>
      </c>
      <c r="H247">
        <v>176</v>
      </c>
      <c r="I247">
        <v>0.39</v>
      </c>
      <c r="J247">
        <v>3.99</v>
      </c>
      <c r="K247" s="51">
        <v>1.641</v>
      </c>
      <c r="L247" s="60">
        <v>0</v>
      </c>
      <c r="M247" s="60">
        <f t="shared" si="6"/>
        <v>0</v>
      </c>
      <c r="N247" s="60">
        <v>0</v>
      </c>
      <c r="O247">
        <f t="shared" si="7"/>
        <v>0</v>
      </c>
      <c r="P247" t="e">
        <v>#VALUE!</v>
      </c>
      <c r="Q247" t="e">
        <v>#VALUE!</v>
      </c>
      <c r="R247" t="e">
        <v>#VALUE!</v>
      </c>
    </row>
    <row r="248" spans="1:18">
      <c r="A248">
        <v>4</v>
      </c>
      <c r="B248" t="s">
        <v>352</v>
      </c>
      <c r="C248" t="s">
        <v>325</v>
      </c>
      <c r="D248" t="s">
        <v>336</v>
      </c>
      <c r="E248" t="s">
        <v>336</v>
      </c>
      <c r="F248">
        <v>0</v>
      </c>
      <c r="G248">
        <v>0.41</v>
      </c>
      <c r="H248">
        <v>202.2</v>
      </c>
      <c r="I248">
        <v>0.44</v>
      </c>
      <c r="J248">
        <v>3.85</v>
      </c>
      <c r="K248" s="51">
        <v>1.74</v>
      </c>
      <c r="L248" s="60">
        <v>0</v>
      </c>
      <c r="M248" s="60">
        <f t="shared" si="6"/>
        <v>0</v>
      </c>
      <c r="N248" s="60">
        <v>0</v>
      </c>
      <c r="O248">
        <f t="shared" si="7"/>
        <v>0</v>
      </c>
      <c r="P248">
        <v>0.4294867846044424</v>
      </c>
      <c r="Q248">
        <v>2.9640764189249249</v>
      </c>
      <c r="R248">
        <v>4.8629871697858613</v>
      </c>
    </row>
    <row r="249" spans="1:18">
      <c r="A249">
        <v>4</v>
      </c>
      <c r="B249" t="s">
        <v>352</v>
      </c>
      <c r="C249" t="s">
        <v>325</v>
      </c>
      <c r="D249" t="s">
        <v>336</v>
      </c>
      <c r="E249" t="s">
        <v>336</v>
      </c>
      <c r="F249">
        <v>0</v>
      </c>
      <c r="G249">
        <v>0.37</v>
      </c>
      <c r="H249">
        <v>203.7</v>
      </c>
      <c r="I249">
        <v>0.83</v>
      </c>
      <c r="J249">
        <v>4.07</v>
      </c>
      <c r="K249" s="51">
        <v>1.5249999999999999</v>
      </c>
      <c r="L249" s="60">
        <v>0</v>
      </c>
      <c r="M249" s="60">
        <f t="shared" si="6"/>
        <v>0</v>
      </c>
      <c r="N249" s="60">
        <v>0</v>
      </c>
      <c r="O249">
        <f t="shared" si="7"/>
        <v>0</v>
      </c>
      <c r="P249">
        <v>0.46688328125081519</v>
      </c>
      <c r="Q249">
        <v>2.8925559962676615</v>
      </c>
      <c r="R249">
        <v>4.7676499382340776</v>
      </c>
    </row>
    <row r="250" spans="1:18">
      <c r="A250">
        <v>4</v>
      </c>
      <c r="B250" t="s">
        <v>352</v>
      </c>
      <c r="C250" t="s">
        <v>325</v>
      </c>
      <c r="D250" t="s">
        <v>336</v>
      </c>
      <c r="E250" t="s">
        <v>336</v>
      </c>
      <c r="F250">
        <v>0</v>
      </c>
      <c r="G250">
        <v>0.33</v>
      </c>
      <c r="H250">
        <v>190.4</v>
      </c>
      <c r="I250">
        <v>0.7</v>
      </c>
      <c r="J250">
        <v>3.81</v>
      </c>
      <c r="K250" s="51">
        <v>1.633</v>
      </c>
      <c r="L250" s="60">
        <v>0</v>
      </c>
      <c r="M250" s="60">
        <f t="shared" si="6"/>
        <v>0</v>
      </c>
      <c r="N250" s="60">
        <v>0</v>
      </c>
      <c r="O250">
        <f t="shared" si="7"/>
        <v>0</v>
      </c>
      <c r="P250">
        <v>0.3819244655672821</v>
      </c>
      <c r="Q250">
        <v>2.9130007015721739</v>
      </c>
      <c r="R250">
        <v>4.6832633454106887</v>
      </c>
    </row>
    <row r="251" spans="1:18">
      <c r="A251">
        <v>4</v>
      </c>
      <c r="B251" t="s">
        <v>184</v>
      </c>
      <c r="C251" t="s">
        <v>336</v>
      </c>
      <c r="D251" t="s">
        <v>336</v>
      </c>
      <c r="E251" t="s">
        <v>336</v>
      </c>
      <c r="F251">
        <v>0</v>
      </c>
      <c r="G251">
        <v>0.35</v>
      </c>
      <c r="H251">
        <v>204.6</v>
      </c>
      <c r="I251">
        <v>7.0000000000000007E-2</v>
      </c>
      <c r="J251">
        <v>3.93</v>
      </c>
      <c r="K251" s="51">
        <v>1.583</v>
      </c>
      <c r="L251" s="60">
        <v>0</v>
      </c>
      <c r="M251" s="60">
        <f t="shared" si="6"/>
        <v>0</v>
      </c>
      <c r="N251" s="60">
        <v>0</v>
      </c>
      <c r="O251">
        <f t="shared" si="7"/>
        <v>0</v>
      </c>
      <c r="P251">
        <v>0.44845826181768861</v>
      </c>
      <c r="Q251">
        <v>2.5716694443893733</v>
      </c>
      <c r="R251">
        <v>5.2283288544811031</v>
      </c>
    </row>
    <row r="252" spans="1:18">
      <c r="A252">
        <v>4</v>
      </c>
      <c r="B252" t="s">
        <v>184</v>
      </c>
      <c r="C252" t="s">
        <v>336</v>
      </c>
      <c r="D252" t="s">
        <v>336</v>
      </c>
      <c r="E252" t="s">
        <v>336</v>
      </c>
      <c r="F252">
        <v>0</v>
      </c>
      <c r="G252">
        <v>0.34</v>
      </c>
      <c r="H252">
        <v>221.7</v>
      </c>
      <c r="I252">
        <v>0.05</v>
      </c>
      <c r="J252">
        <v>3.96</v>
      </c>
      <c r="K252" s="51">
        <v>2.004</v>
      </c>
      <c r="L252" s="60">
        <v>0</v>
      </c>
      <c r="M252" s="60">
        <f t="shared" si="6"/>
        <v>0</v>
      </c>
      <c r="N252" s="60">
        <v>0</v>
      </c>
      <c r="O252">
        <f t="shared" si="7"/>
        <v>0</v>
      </c>
      <c r="P252">
        <v>0.49393550288757998</v>
      </c>
      <c r="Q252">
        <v>2.9101063486206145</v>
      </c>
      <c r="R252">
        <v>5.1123544961684075</v>
      </c>
    </row>
    <row r="253" spans="1:18">
      <c r="A253">
        <v>4</v>
      </c>
      <c r="B253" t="s">
        <v>184</v>
      </c>
      <c r="C253" t="s">
        <v>336</v>
      </c>
      <c r="D253" t="s">
        <v>336</v>
      </c>
      <c r="E253" t="s">
        <v>336</v>
      </c>
      <c r="F253">
        <v>0</v>
      </c>
      <c r="G253">
        <v>0.43</v>
      </c>
      <c r="H253">
        <v>203.8</v>
      </c>
      <c r="I253">
        <v>0</v>
      </c>
      <c r="J253">
        <v>4.0199999999999996</v>
      </c>
      <c r="K253" s="51">
        <v>1.915</v>
      </c>
      <c r="L253" s="60">
        <v>0</v>
      </c>
      <c r="M253" s="60">
        <f t="shared" si="6"/>
        <v>0</v>
      </c>
      <c r="N253" s="60">
        <v>0</v>
      </c>
      <c r="O253">
        <f t="shared" si="7"/>
        <v>0</v>
      </c>
      <c r="P253">
        <v>0.48979437752261112</v>
      </c>
      <c r="Q253">
        <v>3.0559673190158034</v>
      </c>
      <c r="R253">
        <v>4.9025054806533328</v>
      </c>
    </row>
    <row r="254" spans="1:18">
      <c r="A254">
        <v>1</v>
      </c>
      <c r="B254" t="s">
        <v>168</v>
      </c>
      <c r="C254" t="s">
        <v>168</v>
      </c>
      <c r="D254" t="s">
        <v>453</v>
      </c>
      <c r="E254" t="s">
        <v>335</v>
      </c>
      <c r="G254">
        <v>0.05</v>
      </c>
      <c r="H254">
        <v>154</v>
      </c>
      <c r="I254">
        <v>0.03</v>
      </c>
      <c r="J254">
        <v>3.74</v>
      </c>
      <c r="K254" s="51"/>
      <c r="L254" s="60">
        <v>0</v>
      </c>
      <c r="M254" s="60">
        <f t="shared" si="6"/>
        <v>0</v>
      </c>
    </row>
    <row r="255" spans="1:18">
      <c r="A255">
        <v>1</v>
      </c>
      <c r="B255" t="s">
        <v>168</v>
      </c>
      <c r="C255" t="s">
        <v>168</v>
      </c>
      <c r="D255" t="s">
        <v>453</v>
      </c>
      <c r="E255" t="s">
        <v>335</v>
      </c>
      <c r="G255">
        <v>0.05</v>
      </c>
      <c r="H255">
        <v>158</v>
      </c>
      <c r="I255">
        <v>0.03</v>
      </c>
      <c r="J255">
        <v>3.79</v>
      </c>
      <c r="K255" s="51"/>
      <c r="L255" s="60">
        <v>5</v>
      </c>
      <c r="M255" s="60">
        <f t="shared" si="6"/>
        <v>12.920966381583565</v>
      </c>
    </row>
    <row r="256" spans="1:18">
      <c r="A256">
        <v>1</v>
      </c>
      <c r="B256" t="s">
        <v>168</v>
      </c>
      <c r="C256" t="s">
        <v>168</v>
      </c>
      <c r="D256" t="s">
        <v>453</v>
      </c>
      <c r="E256" t="s">
        <v>335</v>
      </c>
      <c r="G256">
        <v>0.05</v>
      </c>
      <c r="H256">
        <v>194</v>
      </c>
      <c r="I256">
        <v>0.03</v>
      </c>
      <c r="J256">
        <v>3.78</v>
      </c>
      <c r="K256" s="51"/>
      <c r="L256" s="60">
        <v>0</v>
      </c>
      <c r="M256" s="60">
        <f t="shared" si="6"/>
        <v>0</v>
      </c>
    </row>
    <row r="257" spans="1:13">
      <c r="A257">
        <v>1</v>
      </c>
      <c r="B257" t="s">
        <v>168</v>
      </c>
      <c r="C257" t="s">
        <v>168</v>
      </c>
      <c r="D257" t="s">
        <v>453</v>
      </c>
      <c r="E257" t="s">
        <v>335</v>
      </c>
      <c r="G257">
        <v>0.05</v>
      </c>
      <c r="H257">
        <v>170</v>
      </c>
      <c r="I257">
        <v>0.03</v>
      </c>
      <c r="J257">
        <v>3.9</v>
      </c>
      <c r="K257" s="51"/>
      <c r="L257" s="60">
        <v>5</v>
      </c>
      <c r="M257" s="60">
        <f t="shared" si="6"/>
        <v>12.920966381583565</v>
      </c>
    </row>
    <row r="258" spans="1:13">
      <c r="A258">
        <v>1</v>
      </c>
      <c r="B258" t="s">
        <v>320</v>
      </c>
      <c r="C258" t="s">
        <v>320</v>
      </c>
      <c r="D258" t="s">
        <v>449</v>
      </c>
      <c r="E258" t="s">
        <v>331</v>
      </c>
      <c r="G258">
        <v>1.19</v>
      </c>
      <c r="H258">
        <v>192</v>
      </c>
      <c r="I258">
        <v>0.93</v>
      </c>
      <c r="J258">
        <v>3.67</v>
      </c>
      <c r="K258" s="51"/>
      <c r="L258" s="60">
        <v>55.000000000000007</v>
      </c>
      <c r="M258" s="60">
        <f t="shared" si="6"/>
        <v>47.869585238633384</v>
      </c>
    </row>
    <row r="259" spans="1:13">
      <c r="A259">
        <v>1</v>
      </c>
      <c r="B259" t="s">
        <v>320</v>
      </c>
      <c r="C259" t="s">
        <v>320</v>
      </c>
      <c r="D259" t="s">
        <v>449</v>
      </c>
      <c r="E259" t="s">
        <v>331</v>
      </c>
      <c r="G259">
        <v>1.1299999999999999</v>
      </c>
      <c r="H259">
        <v>194</v>
      </c>
      <c r="I259">
        <v>1.5</v>
      </c>
      <c r="J259">
        <v>3.51</v>
      </c>
      <c r="K259" s="51"/>
      <c r="L259" s="60">
        <v>50</v>
      </c>
      <c r="M259" s="60">
        <f t="shared" ref="M259:M322" si="8">ASIN(SQRT(L259/100))*180/PI()</f>
        <v>45.000000000000007</v>
      </c>
    </row>
    <row r="260" spans="1:13">
      <c r="A260">
        <v>1</v>
      </c>
      <c r="B260" t="s">
        <v>320</v>
      </c>
      <c r="C260" t="s">
        <v>320</v>
      </c>
      <c r="D260" t="s">
        <v>449</v>
      </c>
      <c r="E260" t="s">
        <v>331</v>
      </c>
      <c r="G260">
        <v>0.82</v>
      </c>
      <c r="H260">
        <v>191</v>
      </c>
      <c r="I260">
        <v>0.61</v>
      </c>
      <c r="J260">
        <v>3.5</v>
      </c>
      <c r="K260" s="51"/>
      <c r="L260" s="60">
        <v>50</v>
      </c>
      <c r="M260" s="60">
        <f t="shared" si="8"/>
        <v>45.000000000000007</v>
      </c>
    </row>
    <row r="261" spans="1:13">
      <c r="A261">
        <v>1</v>
      </c>
      <c r="B261" t="s">
        <v>320</v>
      </c>
      <c r="C261" t="s">
        <v>320</v>
      </c>
      <c r="D261" t="s">
        <v>449</v>
      </c>
      <c r="E261" t="s">
        <v>331</v>
      </c>
      <c r="G261">
        <v>2.09</v>
      </c>
      <c r="H261">
        <v>172</v>
      </c>
      <c r="I261">
        <v>0.93</v>
      </c>
      <c r="J261">
        <v>3.44</v>
      </c>
      <c r="K261" s="51"/>
      <c r="L261" s="60">
        <v>55.000000000000007</v>
      </c>
      <c r="M261" s="60">
        <f t="shared" si="8"/>
        <v>47.869585238633384</v>
      </c>
    </row>
    <row r="262" spans="1:13">
      <c r="A262">
        <v>1</v>
      </c>
      <c r="B262" t="s">
        <v>345</v>
      </c>
      <c r="C262" t="s">
        <v>345</v>
      </c>
      <c r="D262" t="s">
        <v>453</v>
      </c>
      <c r="E262" t="s">
        <v>335</v>
      </c>
      <c r="G262">
        <v>0.11</v>
      </c>
      <c r="H262">
        <v>182</v>
      </c>
      <c r="I262">
        <v>0.6</v>
      </c>
      <c r="J262">
        <v>3.62</v>
      </c>
      <c r="K262" s="51"/>
      <c r="L262" s="60">
        <v>40</v>
      </c>
      <c r="M262" s="60">
        <f t="shared" si="8"/>
        <v>39.231520483592263</v>
      </c>
    </row>
    <row r="263" spans="1:13">
      <c r="A263">
        <v>1</v>
      </c>
      <c r="B263" t="s">
        <v>345</v>
      </c>
      <c r="C263" t="s">
        <v>345</v>
      </c>
      <c r="D263" t="s">
        <v>453</v>
      </c>
      <c r="E263" t="s">
        <v>335</v>
      </c>
      <c r="G263">
        <v>0.08</v>
      </c>
      <c r="H263">
        <v>181</v>
      </c>
      <c r="I263">
        <v>0.15</v>
      </c>
      <c r="J263">
        <v>3.87</v>
      </c>
      <c r="K263" s="51"/>
      <c r="L263" s="60">
        <v>45</v>
      </c>
      <c r="M263" s="60">
        <f t="shared" si="8"/>
        <v>42.130414761366609</v>
      </c>
    </row>
    <row r="264" spans="1:13">
      <c r="A264">
        <v>1</v>
      </c>
      <c r="B264" t="s">
        <v>345</v>
      </c>
      <c r="C264" t="s">
        <v>345</v>
      </c>
      <c r="D264" t="s">
        <v>453</v>
      </c>
      <c r="E264" t="s">
        <v>335</v>
      </c>
      <c r="G264">
        <v>0.22</v>
      </c>
      <c r="H264">
        <v>188</v>
      </c>
      <c r="I264">
        <v>0.06</v>
      </c>
      <c r="J264">
        <v>3.74</v>
      </c>
      <c r="K264" s="51"/>
      <c r="L264" s="60">
        <v>45</v>
      </c>
      <c r="M264" s="60">
        <f t="shared" si="8"/>
        <v>42.130414761366609</v>
      </c>
    </row>
    <row r="265" spans="1:13">
      <c r="A265">
        <v>1</v>
      </c>
      <c r="B265" t="s">
        <v>345</v>
      </c>
      <c r="C265" t="s">
        <v>345</v>
      </c>
      <c r="D265" t="s">
        <v>453</v>
      </c>
      <c r="E265" t="s">
        <v>335</v>
      </c>
      <c r="G265">
        <v>0.08</v>
      </c>
      <c r="H265">
        <v>164</v>
      </c>
      <c r="I265">
        <v>0.15</v>
      </c>
      <c r="J265">
        <v>3.85</v>
      </c>
      <c r="K265" s="51"/>
      <c r="L265" s="60">
        <v>45</v>
      </c>
      <c r="M265" s="60">
        <f t="shared" si="8"/>
        <v>42.130414761366609</v>
      </c>
    </row>
    <row r="266" spans="1:13">
      <c r="A266">
        <v>1</v>
      </c>
      <c r="B266" t="s">
        <v>346</v>
      </c>
      <c r="C266" t="s">
        <v>346</v>
      </c>
      <c r="D266" t="s">
        <v>449</v>
      </c>
      <c r="E266" t="s">
        <v>331</v>
      </c>
      <c r="G266">
        <v>0.09</v>
      </c>
      <c r="H266">
        <v>204</v>
      </c>
      <c r="I266">
        <v>0.21</v>
      </c>
      <c r="J266">
        <v>3.97</v>
      </c>
      <c r="K266" s="51"/>
      <c r="L266" s="60">
        <v>5</v>
      </c>
      <c r="M266" s="60">
        <f t="shared" si="8"/>
        <v>12.920966381583565</v>
      </c>
    </row>
    <row r="267" spans="1:13">
      <c r="A267">
        <v>1</v>
      </c>
      <c r="B267" t="s">
        <v>346</v>
      </c>
      <c r="C267" t="s">
        <v>346</v>
      </c>
      <c r="D267" t="s">
        <v>449</v>
      </c>
      <c r="E267" t="s">
        <v>331</v>
      </c>
      <c r="G267">
        <v>0.28999999999999998</v>
      </c>
      <c r="H267">
        <v>200</v>
      </c>
      <c r="I267">
        <v>0.25</v>
      </c>
      <c r="J267">
        <v>3.93</v>
      </c>
      <c r="K267" s="51"/>
      <c r="L267" s="60">
        <v>15</v>
      </c>
      <c r="M267" s="60">
        <f t="shared" si="8"/>
        <v>22.786497999597149</v>
      </c>
    </row>
    <row r="268" spans="1:13">
      <c r="A268">
        <v>1</v>
      </c>
      <c r="B268" t="s">
        <v>346</v>
      </c>
      <c r="C268" t="s">
        <v>346</v>
      </c>
      <c r="D268" t="s">
        <v>449</v>
      </c>
      <c r="E268" t="s">
        <v>331</v>
      </c>
      <c r="G268">
        <v>0.05</v>
      </c>
      <c r="H268">
        <v>200</v>
      </c>
      <c r="I268">
        <v>0.25</v>
      </c>
      <c r="J268">
        <v>4</v>
      </c>
      <c r="K268" s="51"/>
      <c r="L268" s="60">
        <v>10</v>
      </c>
      <c r="M268" s="60">
        <f t="shared" si="8"/>
        <v>18.434948822922014</v>
      </c>
    </row>
    <row r="269" spans="1:13">
      <c r="A269">
        <v>1</v>
      </c>
      <c r="B269" t="s">
        <v>346</v>
      </c>
      <c r="C269" t="s">
        <v>346</v>
      </c>
      <c r="D269" t="s">
        <v>449</v>
      </c>
      <c r="E269" t="s">
        <v>331</v>
      </c>
      <c r="G269">
        <v>0.05</v>
      </c>
      <c r="H269">
        <v>194</v>
      </c>
      <c r="I269">
        <v>0.24</v>
      </c>
      <c r="J269">
        <v>3.62</v>
      </c>
      <c r="K269" s="51"/>
      <c r="L269" s="60">
        <v>5</v>
      </c>
      <c r="M269" s="60">
        <f t="shared" si="8"/>
        <v>12.920966381583565</v>
      </c>
    </row>
    <row r="270" spans="1:13">
      <c r="A270">
        <v>1</v>
      </c>
      <c r="B270" t="s">
        <v>347</v>
      </c>
      <c r="C270" t="s">
        <v>347</v>
      </c>
      <c r="D270" t="s">
        <v>449</v>
      </c>
      <c r="E270" t="s">
        <v>331</v>
      </c>
      <c r="G270">
        <v>0.38</v>
      </c>
      <c r="H270">
        <v>161</v>
      </c>
      <c r="I270">
        <v>0.91</v>
      </c>
      <c r="J270">
        <v>3.7</v>
      </c>
      <c r="K270" s="51"/>
      <c r="L270" s="60">
        <v>25</v>
      </c>
      <c r="M270" s="60">
        <f t="shared" si="8"/>
        <v>30.000000000000004</v>
      </c>
    </row>
    <row r="271" spans="1:13">
      <c r="A271">
        <v>1</v>
      </c>
      <c r="B271" t="s">
        <v>347</v>
      </c>
      <c r="C271" t="s">
        <v>347</v>
      </c>
      <c r="D271" t="s">
        <v>449</v>
      </c>
      <c r="E271" t="s">
        <v>331</v>
      </c>
      <c r="G271">
        <v>1.56</v>
      </c>
      <c r="H271">
        <v>152</v>
      </c>
      <c r="I271">
        <v>1.5</v>
      </c>
      <c r="J271">
        <v>3.43</v>
      </c>
      <c r="K271" s="51"/>
      <c r="L271" s="60">
        <v>45</v>
      </c>
      <c r="M271" s="60">
        <f t="shared" si="8"/>
        <v>42.130414761366609</v>
      </c>
    </row>
    <row r="272" spans="1:13">
      <c r="A272">
        <v>1</v>
      </c>
      <c r="B272" t="s">
        <v>347</v>
      </c>
      <c r="C272" t="s">
        <v>347</v>
      </c>
      <c r="D272" t="s">
        <v>449</v>
      </c>
      <c r="E272" t="s">
        <v>331</v>
      </c>
      <c r="G272">
        <v>0.31</v>
      </c>
      <c r="H272">
        <v>200</v>
      </c>
      <c r="I272">
        <v>0.22</v>
      </c>
      <c r="J272">
        <v>3.73</v>
      </c>
      <c r="K272" s="51"/>
      <c r="L272" s="60">
        <v>25</v>
      </c>
      <c r="M272" s="60">
        <f t="shared" si="8"/>
        <v>30.000000000000004</v>
      </c>
    </row>
    <row r="273" spans="1:13">
      <c r="A273">
        <v>1</v>
      </c>
      <c r="B273" t="s">
        <v>347</v>
      </c>
      <c r="C273" t="s">
        <v>347</v>
      </c>
      <c r="D273" t="s">
        <v>449</v>
      </c>
      <c r="E273" t="s">
        <v>331</v>
      </c>
      <c r="G273">
        <v>0.27</v>
      </c>
      <c r="H273">
        <v>202</v>
      </c>
      <c r="I273">
        <v>0.19</v>
      </c>
      <c r="J273">
        <v>3.75</v>
      </c>
      <c r="K273" s="51"/>
      <c r="L273" s="60">
        <v>25</v>
      </c>
      <c r="M273" s="60">
        <f t="shared" si="8"/>
        <v>30.000000000000004</v>
      </c>
    </row>
    <row r="274" spans="1:13">
      <c r="A274">
        <v>1</v>
      </c>
      <c r="B274" t="s">
        <v>348</v>
      </c>
      <c r="C274" t="s">
        <v>348</v>
      </c>
      <c r="D274" t="s">
        <v>449</v>
      </c>
      <c r="E274" t="s">
        <v>331</v>
      </c>
      <c r="G274">
        <v>0.05</v>
      </c>
      <c r="H274">
        <v>172</v>
      </c>
      <c r="I274">
        <v>0.23</v>
      </c>
      <c r="J274">
        <v>3.71</v>
      </c>
      <c r="K274" s="51"/>
      <c r="L274" s="60">
        <v>5</v>
      </c>
      <c r="M274" s="60">
        <f t="shared" si="8"/>
        <v>12.920966381583565</v>
      </c>
    </row>
    <row r="275" spans="1:13">
      <c r="A275">
        <v>1</v>
      </c>
      <c r="B275" t="s">
        <v>348</v>
      </c>
      <c r="C275" t="s">
        <v>348</v>
      </c>
      <c r="D275" t="s">
        <v>449</v>
      </c>
      <c r="E275" t="s">
        <v>331</v>
      </c>
      <c r="G275">
        <v>0.05</v>
      </c>
      <c r="H275">
        <v>188</v>
      </c>
      <c r="I275">
        <v>0.22</v>
      </c>
      <c r="J275">
        <v>3.84</v>
      </c>
      <c r="K275" s="51"/>
      <c r="L275" s="60">
        <v>5</v>
      </c>
      <c r="M275" s="60">
        <f t="shared" si="8"/>
        <v>12.920966381583565</v>
      </c>
    </row>
    <row r="276" spans="1:13">
      <c r="A276">
        <v>1</v>
      </c>
      <c r="B276" t="s">
        <v>348</v>
      </c>
      <c r="C276" t="s">
        <v>348</v>
      </c>
      <c r="D276" t="s">
        <v>449</v>
      </c>
      <c r="E276" t="s">
        <v>331</v>
      </c>
      <c r="G276">
        <v>0.06</v>
      </c>
      <c r="H276">
        <v>196</v>
      </c>
      <c r="I276">
        <v>0.27</v>
      </c>
      <c r="J276">
        <v>3.8</v>
      </c>
      <c r="K276" s="51"/>
      <c r="L276" s="60">
        <v>0</v>
      </c>
      <c r="M276" s="60">
        <f t="shared" si="8"/>
        <v>0</v>
      </c>
    </row>
    <row r="277" spans="1:13">
      <c r="A277">
        <v>1</v>
      </c>
      <c r="B277" t="s">
        <v>348</v>
      </c>
      <c r="C277" t="s">
        <v>348</v>
      </c>
      <c r="D277" t="s">
        <v>449</v>
      </c>
      <c r="E277" t="s">
        <v>331</v>
      </c>
      <c r="G277">
        <v>0.05</v>
      </c>
      <c r="H277">
        <v>174</v>
      </c>
      <c r="I277">
        <v>0.26</v>
      </c>
      <c r="J277">
        <v>3.93</v>
      </c>
      <c r="K277" s="51"/>
      <c r="L277" s="60">
        <v>0</v>
      </c>
      <c r="M277" s="60">
        <f t="shared" si="8"/>
        <v>0</v>
      </c>
    </row>
    <row r="278" spans="1:13">
      <c r="A278">
        <v>1</v>
      </c>
      <c r="B278" t="s">
        <v>321</v>
      </c>
      <c r="C278" t="s">
        <v>321</v>
      </c>
      <c r="D278" t="s">
        <v>449</v>
      </c>
      <c r="E278" t="s">
        <v>331</v>
      </c>
      <c r="G278">
        <v>0.05</v>
      </c>
      <c r="H278">
        <v>190</v>
      </c>
      <c r="I278">
        <v>0.42</v>
      </c>
      <c r="J278">
        <v>3.81</v>
      </c>
      <c r="K278" s="51"/>
      <c r="L278" s="60">
        <v>0</v>
      </c>
      <c r="M278" s="60">
        <f t="shared" si="8"/>
        <v>0</v>
      </c>
    </row>
    <row r="279" spans="1:13">
      <c r="A279">
        <v>1</v>
      </c>
      <c r="B279" t="s">
        <v>321</v>
      </c>
      <c r="C279" t="s">
        <v>321</v>
      </c>
      <c r="D279" t="s">
        <v>449</v>
      </c>
      <c r="E279" t="s">
        <v>331</v>
      </c>
      <c r="G279">
        <v>0.05</v>
      </c>
      <c r="H279">
        <v>200</v>
      </c>
      <c r="I279">
        <v>0.28000000000000003</v>
      </c>
      <c r="J279">
        <v>3.91</v>
      </c>
      <c r="K279" s="51"/>
      <c r="L279" s="60">
        <v>5</v>
      </c>
      <c r="M279" s="60">
        <f t="shared" si="8"/>
        <v>12.920966381583565</v>
      </c>
    </row>
    <row r="280" spans="1:13">
      <c r="A280">
        <v>1</v>
      </c>
      <c r="B280" t="s">
        <v>321</v>
      </c>
      <c r="C280" t="s">
        <v>321</v>
      </c>
      <c r="D280" t="s">
        <v>449</v>
      </c>
      <c r="E280" t="s">
        <v>331</v>
      </c>
      <c r="G280">
        <v>0.05</v>
      </c>
      <c r="H280">
        <v>198</v>
      </c>
      <c r="I280">
        <v>0.26</v>
      </c>
      <c r="J280">
        <v>3.89</v>
      </c>
      <c r="K280" s="51"/>
      <c r="L280" s="60">
        <v>10</v>
      </c>
      <c r="M280" s="60">
        <f t="shared" si="8"/>
        <v>18.434948822922014</v>
      </c>
    </row>
    <row r="281" spans="1:13">
      <c r="A281">
        <v>1</v>
      </c>
      <c r="B281" t="s">
        <v>321</v>
      </c>
      <c r="C281" t="s">
        <v>321</v>
      </c>
      <c r="D281" t="s">
        <v>449</v>
      </c>
      <c r="E281" t="s">
        <v>331</v>
      </c>
      <c r="G281">
        <v>0.05</v>
      </c>
      <c r="H281">
        <v>192</v>
      </c>
      <c r="I281">
        <v>0.28000000000000003</v>
      </c>
      <c r="J281">
        <v>4.13</v>
      </c>
      <c r="K281" s="51"/>
      <c r="L281" s="60">
        <v>10</v>
      </c>
      <c r="M281" s="60">
        <f t="shared" si="8"/>
        <v>18.434948822922014</v>
      </c>
    </row>
    <row r="282" spans="1:13">
      <c r="A282">
        <v>1</v>
      </c>
      <c r="B282" t="s">
        <v>349</v>
      </c>
      <c r="C282" t="s">
        <v>349</v>
      </c>
      <c r="D282" t="s">
        <v>449</v>
      </c>
      <c r="E282" t="s">
        <v>331</v>
      </c>
      <c r="G282">
        <v>0.57999999999999996</v>
      </c>
      <c r="H282">
        <v>148</v>
      </c>
      <c r="I282">
        <v>0.2</v>
      </c>
      <c r="J282">
        <v>3.82</v>
      </c>
      <c r="K282" s="51"/>
      <c r="L282" s="60">
        <v>50</v>
      </c>
      <c r="M282" s="60">
        <f t="shared" si="8"/>
        <v>45.000000000000007</v>
      </c>
    </row>
    <row r="283" spans="1:13">
      <c r="A283">
        <v>1</v>
      </c>
      <c r="B283" t="s">
        <v>349</v>
      </c>
      <c r="C283" t="s">
        <v>349</v>
      </c>
      <c r="D283" t="s">
        <v>449</v>
      </c>
      <c r="E283" t="s">
        <v>331</v>
      </c>
      <c r="G283">
        <v>0.49</v>
      </c>
      <c r="H283">
        <v>170</v>
      </c>
      <c r="I283">
        <v>0.28000000000000003</v>
      </c>
      <c r="J283">
        <v>3.33</v>
      </c>
      <c r="K283" s="51"/>
      <c r="L283" s="60">
        <v>30</v>
      </c>
      <c r="M283" s="60">
        <f t="shared" si="8"/>
        <v>33.210910760899083</v>
      </c>
    </row>
    <row r="284" spans="1:13">
      <c r="A284">
        <v>1</v>
      </c>
      <c r="B284" t="s">
        <v>349</v>
      </c>
      <c r="C284" t="s">
        <v>349</v>
      </c>
      <c r="D284" t="s">
        <v>449</v>
      </c>
      <c r="E284" t="s">
        <v>331</v>
      </c>
      <c r="G284">
        <v>0.14000000000000001</v>
      </c>
      <c r="H284">
        <v>120</v>
      </c>
      <c r="I284">
        <v>0.22</v>
      </c>
      <c r="J284">
        <v>3.74</v>
      </c>
      <c r="K284" s="51"/>
      <c r="L284" s="60">
        <v>25</v>
      </c>
      <c r="M284" s="60">
        <f t="shared" si="8"/>
        <v>30.000000000000004</v>
      </c>
    </row>
    <row r="285" spans="1:13">
      <c r="A285">
        <v>1</v>
      </c>
      <c r="B285" t="s">
        <v>349</v>
      </c>
      <c r="C285" t="s">
        <v>349</v>
      </c>
      <c r="D285" t="s">
        <v>449</v>
      </c>
      <c r="E285" t="s">
        <v>331</v>
      </c>
      <c r="G285">
        <v>0.05</v>
      </c>
      <c r="H285">
        <v>146</v>
      </c>
      <c r="I285">
        <v>0.26</v>
      </c>
      <c r="J285">
        <v>3.51</v>
      </c>
      <c r="K285" s="51"/>
      <c r="L285" s="60">
        <v>20</v>
      </c>
      <c r="M285" s="60">
        <f t="shared" si="8"/>
        <v>26.56505117707799</v>
      </c>
    </row>
    <row r="286" spans="1:13">
      <c r="A286">
        <v>1</v>
      </c>
      <c r="B286" t="s">
        <v>350</v>
      </c>
      <c r="C286" t="s">
        <v>350</v>
      </c>
      <c r="D286" t="s">
        <v>449</v>
      </c>
      <c r="E286" t="s">
        <v>331</v>
      </c>
      <c r="G286">
        <v>0.61</v>
      </c>
      <c r="H286">
        <v>126</v>
      </c>
      <c r="I286">
        <v>0.81</v>
      </c>
      <c r="J286">
        <v>4.0199999999999996</v>
      </c>
      <c r="K286" s="51"/>
      <c r="L286" s="60">
        <v>45</v>
      </c>
      <c r="M286" s="60">
        <f t="shared" si="8"/>
        <v>42.130414761366609</v>
      </c>
    </row>
    <row r="287" spans="1:13">
      <c r="A287">
        <v>1</v>
      </c>
      <c r="B287" t="s">
        <v>350</v>
      </c>
      <c r="C287" t="s">
        <v>350</v>
      </c>
      <c r="D287" t="s">
        <v>449</v>
      </c>
      <c r="E287" t="s">
        <v>331</v>
      </c>
      <c r="G287">
        <v>0.9</v>
      </c>
      <c r="H287">
        <v>156</v>
      </c>
      <c r="I287">
        <v>1.23</v>
      </c>
      <c r="J287">
        <v>3.82</v>
      </c>
      <c r="K287" s="51"/>
      <c r="L287" s="60">
        <v>60</v>
      </c>
      <c r="M287" s="60">
        <f t="shared" si="8"/>
        <v>50.768479516407751</v>
      </c>
    </row>
    <row r="288" spans="1:13">
      <c r="A288">
        <v>1</v>
      </c>
      <c r="B288" t="s">
        <v>350</v>
      </c>
      <c r="C288" t="s">
        <v>350</v>
      </c>
      <c r="D288" t="s">
        <v>449</v>
      </c>
      <c r="E288" t="s">
        <v>331</v>
      </c>
      <c r="G288">
        <v>1.51</v>
      </c>
      <c r="H288">
        <v>136</v>
      </c>
      <c r="I288">
        <v>1.02</v>
      </c>
      <c r="J288">
        <v>3.71</v>
      </c>
      <c r="K288" s="51"/>
      <c r="L288" s="60">
        <v>50</v>
      </c>
      <c r="M288" s="60">
        <f t="shared" si="8"/>
        <v>45.000000000000007</v>
      </c>
    </row>
    <row r="289" spans="1:13">
      <c r="A289">
        <v>1</v>
      </c>
      <c r="B289" t="s">
        <v>350</v>
      </c>
      <c r="C289" t="s">
        <v>350</v>
      </c>
      <c r="D289" t="s">
        <v>449</v>
      </c>
      <c r="E289" t="s">
        <v>331</v>
      </c>
      <c r="G289">
        <v>0.89</v>
      </c>
      <c r="H289">
        <v>110</v>
      </c>
      <c r="I289">
        <v>1.22</v>
      </c>
      <c r="J289">
        <v>3.95</v>
      </c>
      <c r="K289" s="51"/>
      <c r="L289" s="60">
        <v>55.000000000000007</v>
      </c>
      <c r="M289" s="60">
        <f t="shared" si="8"/>
        <v>47.869585238633384</v>
      </c>
    </row>
    <row r="290" spans="1:13">
      <c r="A290">
        <v>1</v>
      </c>
      <c r="B290" t="s">
        <v>323</v>
      </c>
      <c r="C290" t="s">
        <v>323</v>
      </c>
      <c r="D290" t="s">
        <v>449</v>
      </c>
      <c r="E290" t="s">
        <v>331</v>
      </c>
      <c r="G290">
        <v>0.12</v>
      </c>
      <c r="H290">
        <v>184</v>
      </c>
      <c r="I290">
        <v>0.33</v>
      </c>
      <c r="J290">
        <v>3.56</v>
      </c>
      <c r="K290" s="51"/>
      <c r="L290" s="60">
        <v>40</v>
      </c>
      <c r="M290" s="60">
        <f t="shared" si="8"/>
        <v>39.231520483592263</v>
      </c>
    </row>
    <row r="291" spans="1:13">
      <c r="A291">
        <v>1</v>
      </c>
      <c r="B291" t="s">
        <v>323</v>
      </c>
      <c r="C291" t="s">
        <v>323</v>
      </c>
      <c r="D291" t="s">
        <v>449</v>
      </c>
      <c r="E291" t="s">
        <v>331</v>
      </c>
      <c r="G291">
        <v>0.1</v>
      </c>
      <c r="H291">
        <v>164</v>
      </c>
      <c r="I291">
        <v>0.41</v>
      </c>
      <c r="J291">
        <v>3.9</v>
      </c>
      <c r="K291" s="51"/>
      <c r="L291" s="60">
        <v>30</v>
      </c>
      <c r="M291" s="60">
        <f t="shared" si="8"/>
        <v>33.210910760899083</v>
      </c>
    </row>
    <row r="292" spans="1:13">
      <c r="A292">
        <v>1</v>
      </c>
      <c r="B292" t="s">
        <v>323</v>
      </c>
      <c r="C292" t="s">
        <v>323</v>
      </c>
      <c r="D292" t="s">
        <v>449</v>
      </c>
      <c r="E292" t="s">
        <v>331</v>
      </c>
      <c r="G292">
        <v>0.12</v>
      </c>
      <c r="H292">
        <v>160</v>
      </c>
      <c r="I292">
        <v>0.28000000000000003</v>
      </c>
      <c r="J292">
        <v>3.97</v>
      </c>
      <c r="K292" s="51"/>
      <c r="L292" s="60">
        <v>30</v>
      </c>
      <c r="M292" s="60">
        <f t="shared" si="8"/>
        <v>33.210910760899083</v>
      </c>
    </row>
    <row r="293" spans="1:13">
      <c r="A293">
        <v>1</v>
      </c>
      <c r="B293" t="s">
        <v>323</v>
      </c>
      <c r="C293" t="s">
        <v>323</v>
      </c>
      <c r="D293" t="s">
        <v>449</v>
      </c>
      <c r="E293" t="s">
        <v>331</v>
      </c>
      <c r="G293">
        <v>0.14000000000000001</v>
      </c>
      <c r="H293">
        <v>158</v>
      </c>
      <c r="I293">
        <v>0.36</v>
      </c>
      <c r="J293">
        <v>3.99</v>
      </c>
      <c r="K293" s="51"/>
      <c r="L293" s="60">
        <v>25</v>
      </c>
      <c r="M293" s="60">
        <f t="shared" si="8"/>
        <v>30.000000000000004</v>
      </c>
    </row>
    <row r="294" spans="1:13">
      <c r="A294">
        <v>1</v>
      </c>
      <c r="B294" t="s">
        <v>322</v>
      </c>
      <c r="C294" t="s">
        <v>322</v>
      </c>
      <c r="D294" t="s">
        <v>449</v>
      </c>
      <c r="E294" t="s">
        <v>331</v>
      </c>
      <c r="G294">
        <v>7.0000000000000007E-2</v>
      </c>
      <c r="H294">
        <v>202</v>
      </c>
      <c r="I294">
        <v>0.37</v>
      </c>
      <c r="J294">
        <v>4.0599999999999996</v>
      </c>
      <c r="K294" s="51"/>
      <c r="L294" s="60">
        <v>10</v>
      </c>
      <c r="M294" s="60">
        <f t="shared" si="8"/>
        <v>18.434948822922014</v>
      </c>
    </row>
    <row r="295" spans="1:13">
      <c r="A295">
        <v>1</v>
      </c>
      <c r="B295" t="s">
        <v>322</v>
      </c>
      <c r="C295" t="s">
        <v>322</v>
      </c>
      <c r="D295" t="s">
        <v>449</v>
      </c>
      <c r="E295" t="s">
        <v>331</v>
      </c>
      <c r="G295">
        <v>0.05</v>
      </c>
      <c r="H295">
        <v>184</v>
      </c>
      <c r="I295">
        <v>0.42</v>
      </c>
      <c r="J295">
        <v>3.94</v>
      </c>
      <c r="K295" s="51"/>
      <c r="L295" s="60">
        <v>15</v>
      </c>
      <c r="M295" s="60">
        <f t="shared" si="8"/>
        <v>22.786497999597149</v>
      </c>
    </row>
    <row r="296" spans="1:13">
      <c r="A296">
        <v>1</v>
      </c>
      <c r="B296" t="s">
        <v>322</v>
      </c>
      <c r="C296" t="s">
        <v>322</v>
      </c>
      <c r="D296" t="s">
        <v>449</v>
      </c>
      <c r="E296" t="s">
        <v>331</v>
      </c>
      <c r="G296">
        <v>0.06</v>
      </c>
      <c r="H296">
        <v>190</v>
      </c>
      <c r="I296">
        <v>0.41</v>
      </c>
      <c r="J296">
        <v>3.67</v>
      </c>
      <c r="K296" s="51"/>
      <c r="L296" s="60">
        <v>15</v>
      </c>
      <c r="M296" s="60">
        <f t="shared" si="8"/>
        <v>22.786497999597149</v>
      </c>
    </row>
    <row r="297" spans="1:13">
      <c r="A297">
        <v>1</v>
      </c>
      <c r="B297" t="s">
        <v>322</v>
      </c>
      <c r="C297" t="s">
        <v>322</v>
      </c>
      <c r="D297" t="s">
        <v>449</v>
      </c>
      <c r="E297" t="s">
        <v>331</v>
      </c>
      <c r="G297">
        <v>0.05</v>
      </c>
      <c r="H297">
        <v>178</v>
      </c>
      <c r="I297">
        <v>0.44</v>
      </c>
      <c r="J297">
        <v>3.92</v>
      </c>
      <c r="K297" s="51"/>
      <c r="L297" s="60">
        <v>5</v>
      </c>
      <c r="M297" s="60">
        <f t="shared" si="8"/>
        <v>12.920966381583565</v>
      </c>
    </row>
    <row r="298" spans="1:13">
      <c r="A298">
        <v>2</v>
      </c>
      <c r="B298" t="s">
        <v>168</v>
      </c>
      <c r="C298" t="s">
        <v>168</v>
      </c>
      <c r="D298" t="s">
        <v>453</v>
      </c>
      <c r="E298" t="s">
        <v>335</v>
      </c>
      <c r="G298">
        <v>0.14000000000000001</v>
      </c>
      <c r="H298">
        <v>161</v>
      </c>
      <c r="I298">
        <v>0.2</v>
      </c>
      <c r="J298">
        <v>3.71</v>
      </c>
      <c r="K298" s="51"/>
      <c r="L298" s="60">
        <v>40</v>
      </c>
      <c r="M298" s="60">
        <f t="shared" si="8"/>
        <v>39.231520483592263</v>
      </c>
    </row>
    <row r="299" spans="1:13">
      <c r="A299">
        <v>2</v>
      </c>
      <c r="B299" t="s">
        <v>168</v>
      </c>
      <c r="C299" t="s">
        <v>168</v>
      </c>
      <c r="D299" t="s">
        <v>453</v>
      </c>
      <c r="E299" t="s">
        <v>335</v>
      </c>
      <c r="G299">
        <v>0.1</v>
      </c>
      <c r="H299">
        <v>164</v>
      </c>
      <c r="I299">
        <v>0.16</v>
      </c>
      <c r="J299">
        <v>3.9</v>
      </c>
      <c r="K299" s="51"/>
      <c r="L299" s="60">
        <v>10</v>
      </c>
      <c r="M299" s="60">
        <f t="shared" si="8"/>
        <v>18.434948822922014</v>
      </c>
    </row>
    <row r="300" spans="1:13">
      <c r="A300">
        <v>2</v>
      </c>
      <c r="B300" t="s">
        <v>168</v>
      </c>
      <c r="C300" t="s">
        <v>168</v>
      </c>
      <c r="D300" t="s">
        <v>453</v>
      </c>
      <c r="E300" t="s">
        <v>335</v>
      </c>
      <c r="G300">
        <v>0.05</v>
      </c>
      <c r="H300">
        <v>170</v>
      </c>
      <c r="I300">
        <v>0.05</v>
      </c>
      <c r="J300">
        <v>3.63</v>
      </c>
      <c r="K300" s="51"/>
      <c r="L300" s="60">
        <v>5</v>
      </c>
      <c r="M300" s="60">
        <f t="shared" si="8"/>
        <v>12.920966381583565</v>
      </c>
    </row>
    <row r="301" spans="1:13">
      <c r="A301">
        <v>2</v>
      </c>
      <c r="B301" t="s">
        <v>168</v>
      </c>
      <c r="C301" t="s">
        <v>168</v>
      </c>
      <c r="D301" t="s">
        <v>453</v>
      </c>
      <c r="E301" t="s">
        <v>335</v>
      </c>
      <c r="G301">
        <v>0.11</v>
      </c>
      <c r="H301">
        <v>154</v>
      </c>
      <c r="I301">
        <v>0.06</v>
      </c>
      <c r="J301">
        <v>3.71</v>
      </c>
      <c r="K301" s="51"/>
      <c r="L301" s="60">
        <v>15</v>
      </c>
      <c r="M301" s="60">
        <f t="shared" si="8"/>
        <v>22.786497999597149</v>
      </c>
    </row>
    <row r="302" spans="1:13">
      <c r="A302">
        <v>2</v>
      </c>
      <c r="B302" t="s">
        <v>320</v>
      </c>
      <c r="C302" t="s">
        <v>320</v>
      </c>
      <c r="D302" t="s">
        <v>449</v>
      </c>
      <c r="E302" t="s">
        <v>331</v>
      </c>
      <c r="G302">
        <v>2.12</v>
      </c>
      <c r="H302">
        <v>152</v>
      </c>
      <c r="I302">
        <v>1.4</v>
      </c>
      <c r="J302">
        <v>3.95</v>
      </c>
      <c r="K302" s="51"/>
      <c r="L302" s="60">
        <v>65</v>
      </c>
      <c r="M302" s="60">
        <f t="shared" si="8"/>
        <v>53.728801561861061</v>
      </c>
    </row>
    <row r="303" spans="1:13">
      <c r="A303">
        <v>2</v>
      </c>
      <c r="B303" t="s">
        <v>320</v>
      </c>
      <c r="C303" t="s">
        <v>320</v>
      </c>
      <c r="D303" t="s">
        <v>449</v>
      </c>
      <c r="E303" t="s">
        <v>331</v>
      </c>
      <c r="G303">
        <v>1.81</v>
      </c>
      <c r="H303">
        <v>144</v>
      </c>
      <c r="I303">
        <v>1.26</v>
      </c>
      <c r="J303">
        <v>4.0599999999999996</v>
      </c>
      <c r="K303" s="51"/>
      <c r="L303" s="60">
        <v>75</v>
      </c>
      <c r="M303" s="60">
        <f t="shared" si="8"/>
        <v>59.999999999999993</v>
      </c>
    </row>
    <row r="304" spans="1:13">
      <c r="A304">
        <v>2</v>
      </c>
      <c r="B304" t="s">
        <v>320</v>
      </c>
      <c r="C304" t="s">
        <v>320</v>
      </c>
      <c r="D304" t="s">
        <v>449</v>
      </c>
      <c r="E304" t="s">
        <v>331</v>
      </c>
      <c r="G304">
        <v>2.1</v>
      </c>
      <c r="H304">
        <v>135</v>
      </c>
      <c r="I304">
        <v>1.23</v>
      </c>
      <c r="J304">
        <v>3.52</v>
      </c>
      <c r="K304" s="51"/>
      <c r="L304" s="60">
        <v>65</v>
      </c>
      <c r="M304" s="60">
        <f t="shared" si="8"/>
        <v>53.728801561861061</v>
      </c>
    </row>
    <row r="305" spans="1:13">
      <c r="A305">
        <v>2</v>
      </c>
      <c r="B305" t="s">
        <v>320</v>
      </c>
      <c r="C305" t="s">
        <v>320</v>
      </c>
      <c r="D305" t="s">
        <v>449</v>
      </c>
      <c r="E305" t="s">
        <v>331</v>
      </c>
      <c r="G305">
        <v>1.35</v>
      </c>
      <c r="H305">
        <v>88</v>
      </c>
      <c r="I305">
        <v>1.04</v>
      </c>
      <c r="J305">
        <v>3.64</v>
      </c>
      <c r="K305" s="51"/>
      <c r="L305" s="60">
        <v>50</v>
      </c>
      <c r="M305" s="60">
        <f t="shared" si="8"/>
        <v>45.000000000000007</v>
      </c>
    </row>
    <row r="306" spans="1:13">
      <c r="A306">
        <v>2</v>
      </c>
      <c r="B306" t="s">
        <v>345</v>
      </c>
      <c r="C306" t="s">
        <v>345</v>
      </c>
      <c r="D306" t="s">
        <v>453</v>
      </c>
      <c r="E306" t="s">
        <v>335</v>
      </c>
      <c r="G306">
        <v>0.05</v>
      </c>
      <c r="H306">
        <v>196</v>
      </c>
      <c r="I306">
        <v>0.38</v>
      </c>
      <c r="J306">
        <v>3.81</v>
      </c>
      <c r="K306" s="51"/>
      <c r="L306" s="60">
        <v>60</v>
      </c>
      <c r="M306" s="60">
        <f t="shared" si="8"/>
        <v>50.768479516407751</v>
      </c>
    </row>
    <row r="307" spans="1:13">
      <c r="A307">
        <v>2</v>
      </c>
      <c r="B307" t="s">
        <v>345</v>
      </c>
      <c r="C307" t="s">
        <v>345</v>
      </c>
      <c r="D307" t="s">
        <v>453</v>
      </c>
      <c r="E307" t="s">
        <v>335</v>
      </c>
      <c r="G307">
        <v>0.33</v>
      </c>
      <c r="H307">
        <v>182</v>
      </c>
      <c r="I307">
        <v>0.38</v>
      </c>
      <c r="J307">
        <v>3.49</v>
      </c>
      <c r="K307" s="51"/>
      <c r="L307" s="60">
        <v>60</v>
      </c>
      <c r="M307" s="60">
        <f t="shared" si="8"/>
        <v>50.768479516407751</v>
      </c>
    </row>
    <row r="308" spans="1:13">
      <c r="A308">
        <v>2</v>
      </c>
      <c r="B308" t="s">
        <v>345</v>
      </c>
      <c r="C308" t="s">
        <v>345</v>
      </c>
      <c r="D308" t="s">
        <v>453</v>
      </c>
      <c r="E308" t="s">
        <v>335</v>
      </c>
      <c r="G308">
        <v>0.18</v>
      </c>
      <c r="H308">
        <v>176</v>
      </c>
      <c r="I308">
        <v>0.41</v>
      </c>
      <c r="J308">
        <v>4.04</v>
      </c>
      <c r="K308" s="51"/>
      <c r="L308" s="60">
        <v>55.000000000000007</v>
      </c>
      <c r="M308" s="60">
        <f t="shared" si="8"/>
        <v>47.869585238633384</v>
      </c>
    </row>
    <row r="309" spans="1:13">
      <c r="A309">
        <v>2</v>
      </c>
      <c r="B309" t="s">
        <v>345</v>
      </c>
      <c r="C309" t="s">
        <v>345</v>
      </c>
      <c r="D309" t="s">
        <v>453</v>
      </c>
      <c r="E309" t="s">
        <v>335</v>
      </c>
      <c r="G309">
        <v>0.38</v>
      </c>
      <c r="H309">
        <v>176</v>
      </c>
      <c r="I309">
        <v>0.37</v>
      </c>
      <c r="J309">
        <v>3.51</v>
      </c>
      <c r="K309" s="51"/>
      <c r="L309" s="60">
        <v>35</v>
      </c>
      <c r="M309" s="60">
        <f t="shared" si="8"/>
        <v>36.271198438138953</v>
      </c>
    </row>
    <row r="310" spans="1:13">
      <c r="A310">
        <v>2</v>
      </c>
      <c r="B310" t="s">
        <v>346</v>
      </c>
      <c r="C310" t="s">
        <v>346</v>
      </c>
      <c r="D310" t="s">
        <v>449</v>
      </c>
      <c r="E310" t="s">
        <v>331</v>
      </c>
      <c r="G310">
        <v>0.47</v>
      </c>
      <c r="H310">
        <v>184</v>
      </c>
      <c r="I310">
        <v>0.46</v>
      </c>
      <c r="J310">
        <v>3.85</v>
      </c>
      <c r="K310" s="51"/>
      <c r="L310" s="60">
        <v>45</v>
      </c>
      <c r="M310" s="60">
        <f t="shared" si="8"/>
        <v>42.130414761366609</v>
      </c>
    </row>
    <row r="311" spans="1:13">
      <c r="A311">
        <v>2</v>
      </c>
      <c r="B311" t="s">
        <v>346</v>
      </c>
      <c r="C311" t="s">
        <v>346</v>
      </c>
      <c r="D311" t="s">
        <v>449</v>
      </c>
      <c r="E311" t="s">
        <v>331</v>
      </c>
      <c r="G311">
        <v>0.55000000000000004</v>
      </c>
      <c r="H311">
        <v>188</v>
      </c>
      <c r="I311">
        <v>0.61</v>
      </c>
      <c r="J311">
        <v>3.94</v>
      </c>
      <c r="K311" s="51"/>
      <c r="L311" s="60">
        <v>30</v>
      </c>
      <c r="M311" s="60">
        <f t="shared" si="8"/>
        <v>33.210910760899083</v>
      </c>
    </row>
    <row r="312" spans="1:13">
      <c r="A312">
        <v>2</v>
      </c>
      <c r="B312" t="s">
        <v>346</v>
      </c>
      <c r="C312" t="s">
        <v>346</v>
      </c>
      <c r="D312" t="s">
        <v>449</v>
      </c>
      <c r="E312" t="s">
        <v>331</v>
      </c>
      <c r="G312">
        <v>0.38</v>
      </c>
      <c r="H312">
        <v>147</v>
      </c>
      <c r="I312">
        <v>0.44</v>
      </c>
      <c r="J312">
        <v>3.63</v>
      </c>
      <c r="K312" s="51"/>
      <c r="L312" s="60">
        <v>40</v>
      </c>
      <c r="M312" s="60">
        <f t="shared" si="8"/>
        <v>39.231520483592263</v>
      </c>
    </row>
    <row r="313" spans="1:13">
      <c r="A313">
        <v>2</v>
      </c>
      <c r="B313" t="s">
        <v>346</v>
      </c>
      <c r="C313" t="s">
        <v>346</v>
      </c>
      <c r="D313" t="s">
        <v>449</v>
      </c>
      <c r="E313" t="s">
        <v>331</v>
      </c>
      <c r="G313">
        <v>0.34</v>
      </c>
      <c r="H313">
        <v>174</v>
      </c>
      <c r="I313">
        <v>0.63</v>
      </c>
      <c r="J313">
        <v>3.65</v>
      </c>
      <c r="K313" s="51"/>
      <c r="L313" s="60">
        <v>35</v>
      </c>
      <c r="M313" s="60">
        <f t="shared" si="8"/>
        <v>36.271198438138953</v>
      </c>
    </row>
    <row r="314" spans="1:13">
      <c r="A314">
        <v>2</v>
      </c>
      <c r="B314" t="s">
        <v>347</v>
      </c>
      <c r="C314" t="s">
        <v>347</v>
      </c>
      <c r="D314" t="s">
        <v>449</v>
      </c>
      <c r="E314" t="s">
        <v>331</v>
      </c>
      <c r="G314">
        <v>1.23</v>
      </c>
      <c r="H314">
        <v>157</v>
      </c>
      <c r="I314">
        <v>0.91</v>
      </c>
      <c r="J314">
        <v>3.9</v>
      </c>
      <c r="K314" s="51"/>
      <c r="L314" s="60">
        <v>80</v>
      </c>
      <c r="M314" s="60">
        <f t="shared" si="8"/>
        <v>63.43494882292201</v>
      </c>
    </row>
    <row r="315" spans="1:13">
      <c r="A315">
        <v>2</v>
      </c>
      <c r="B315" t="s">
        <v>347</v>
      </c>
      <c r="C315" t="s">
        <v>347</v>
      </c>
      <c r="D315" t="s">
        <v>449</v>
      </c>
      <c r="E315" t="s">
        <v>331</v>
      </c>
      <c r="G315">
        <v>1.29</v>
      </c>
      <c r="H315">
        <v>152</v>
      </c>
      <c r="I315">
        <v>0.83</v>
      </c>
      <c r="J315">
        <v>3.84</v>
      </c>
      <c r="K315" s="51"/>
      <c r="L315" s="60">
        <v>40</v>
      </c>
      <c r="M315" s="60">
        <f t="shared" si="8"/>
        <v>39.231520483592263</v>
      </c>
    </row>
    <row r="316" spans="1:13">
      <c r="A316">
        <v>2</v>
      </c>
      <c r="B316" t="s">
        <v>347</v>
      </c>
      <c r="C316" t="s">
        <v>347</v>
      </c>
      <c r="D316" t="s">
        <v>449</v>
      </c>
      <c r="E316" t="s">
        <v>331</v>
      </c>
      <c r="G316">
        <v>2.4</v>
      </c>
      <c r="H316">
        <v>124</v>
      </c>
      <c r="I316">
        <v>1.1000000000000001</v>
      </c>
      <c r="J316">
        <v>3.54</v>
      </c>
      <c r="K316" s="51"/>
      <c r="L316" s="60">
        <v>65</v>
      </c>
      <c r="M316" s="60">
        <f t="shared" si="8"/>
        <v>53.728801561861061</v>
      </c>
    </row>
    <row r="317" spans="1:13">
      <c r="A317">
        <v>2</v>
      </c>
      <c r="B317" t="s">
        <v>347</v>
      </c>
      <c r="C317" t="s">
        <v>347</v>
      </c>
      <c r="D317" t="s">
        <v>449</v>
      </c>
      <c r="E317" t="s">
        <v>331</v>
      </c>
      <c r="G317">
        <v>2.1800000000000002</v>
      </c>
      <c r="H317">
        <v>112</v>
      </c>
      <c r="I317">
        <v>1.1499999999999999</v>
      </c>
      <c r="J317">
        <v>3.87</v>
      </c>
      <c r="K317" s="51"/>
      <c r="L317" s="60">
        <v>75</v>
      </c>
      <c r="M317" s="60">
        <f t="shared" si="8"/>
        <v>59.999999999999993</v>
      </c>
    </row>
    <row r="318" spans="1:13">
      <c r="A318">
        <v>2</v>
      </c>
      <c r="B318" t="s">
        <v>348</v>
      </c>
      <c r="C318" t="s">
        <v>348</v>
      </c>
      <c r="D318" t="s">
        <v>449</v>
      </c>
      <c r="E318" t="s">
        <v>331</v>
      </c>
      <c r="G318">
        <v>0.05</v>
      </c>
      <c r="H318">
        <v>186</v>
      </c>
      <c r="I318">
        <v>0.21</v>
      </c>
      <c r="J318">
        <v>4.09</v>
      </c>
      <c r="K318" s="51"/>
      <c r="L318" s="60">
        <v>0</v>
      </c>
      <c r="M318" s="60">
        <f t="shared" si="8"/>
        <v>0</v>
      </c>
    </row>
    <row r="319" spans="1:13">
      <c r="A319">
        <v>2</v>
      </c>
      <c r="B319" t="s">
        <v>348</v>
      </c>
      <c r="C319" t="s">
        <v>348</v>
      </c>
      <c r="D319" t="s">
        <v>449</v>
      </c>
      <c r="E319" t="s">
        <v>331</v>
      </c>
      <c r="G319">
        <v>0.08</v>
      </c>
      <c r="H319">
        <v>182</v>
      </c>
      <c r="I319">
        <v>0.28999999999999998</v>
      </c>
      <c r="J319">
        <v>4.05</v>
      </c>
      <c r="K319" s="51"/>
      <c r="L319" s="60">
        <v>15</v>
      </c>
      <c r="M319" s="60">
        <f t="shared" si="8"/>
        <v>22.786497999597149</v>
      </c>
    </row>
    <row r="320" spans="1:13">
      <c r="A320">
        <v>2</v>
      </c>
      <c r="B320" t="s">
        <v>348</v>
      </c>
      <c r="C320" t="s">
        <v>348</v>
      </c>
      <c r="D320" t="s">
        <v>449</v>
      </c>
      <c r="E320" t="s">
        <v>331</v>
      </c>
      <c r="G320">
        <v>0.05</v>
      </c>
      <c r="H320">
        <v>193</v>
      </c>
      <c r="I320">
        <v>0.31</v>
      </c>
      <c r="J320">
        <v>3.98</v>
      </c>
      <c r="K320" s="51"/>
      <c r="L320" s="60">
        <v>15</v>
      </c>
      <c r="M320" s="60">
        <f t="shared" si="8"/>
        <v>22.786497999597149</v>
      </c>
    </row>
    <row r="321" spans="1:13">
      <c r="A321">
        <v>2</v>
      </c>
      <c r="B321" t="s">
        <v>348</v>
      </c>
      <c r="C321" t="s">
        <v>348</v>
      </c>
      <c r="D321" t="s">
        <v>449</v>
      </c>
      <c r="E321" t="s">
        <v>331</v>
      </c>
      <c r="G321">
        <v>0.05</v>
      </c>
      <c r="H321">
        <v>181</v>
      </c>
      <c r="I321">
        <v>0.25</v>
      </c>
      <c r="J321">
        <v>4.0999999999999996</v>
      </c>
      <c r="K321" s="51"/>
      <c r="L321" s="60">
        <v>25</v>
      </c>
      <c r="M321" s="60">
        <f t="shared" si="8"/>
        <v>30.000000000000004</v>
      </c>
    </row>
    <row r="322" spans="1:13">
      <c r="A322">
        <v>2</v>
      </c>
      <c r="B322" t="s">
        <v>321</v>
      </c>
      <c r="C322" t="s">
        <v>321</v>
      </c>
      <c r="D322" t="s">
        <v>449</v>
      </c>
      <c r="E322" t="s">
        <v>331</v>
      </c>
      <c r="G322">
        <v>0.05</v>
      </c>
      <c r="H322">
        <v>176</v>
      </c>
      <c r="I322">
        <v>0.27</v>
      </c>
      <c r="J322">
        <v>3.91</v>
      </c>
      <c r="K322" s="51"/>
      <c r="L322" s="60">
        <v>5</v>
      </c>
      <c r="M322" s="60">
        <f t="shared" si="8"/>
        <v>12.920966381583565</v>
      </c>
    </row>
    <row r="323" spans="1:13">
      <c r="A323">
        <v>2</v>
      </c>
      <c r="B323" t="s">
        <v>321</v>
      </c>
      <c r="C323" t="s">
        <v>321</v>
      </c>
      <c r="D323" t="s">
        <v>449</v>
      </c>
      <c r="E323" t="s">
        <v>331</v>
      </c>
      <c r="G323">
        <v>0.05</v>
      </c>
      <c r="H323">
        <v>158</v>
      </c>
      <c r="I323">
        <v>0.42</v>
      </c>
      <c r="J323">
        <v>4.03</v>
      </c>
      <c r="K323" s="51"/>
      <c r="L323" s="60">
        <v>10</v>
      </c>
      <c r="M323" s="60">
        <f t="shared" ref="M323:M349" si="9">ASIN(SQRT(L323/100))*180/PI()</f>
        <v>18.434948822922014</v>
      </c>
    </row>
    <row r="324" spans="1:13">
      <c r="A324">
        <v>2</v>
      </c>
      <c r="B324" t="s">
        <v>321</v>
      </c>
      <c r="C324" t="s">
        <v>321</v>
      </c>
      <c r="D324" t="s">
        <v>449</v>
      </c>
      <c r="E324" t="s">
        <v>331</v>
      </c>
      <c r="G324">
        <v>0.06</v>
      </c>
      <c r="H324">
        <v>168</v>
      </c>
      <c r="I324">
        <v>0.77</v>
      </c>
      <c r="J324">
        <v>4.07</v>
      </c>
      <c r="K324" s="51"/>
      <c r="L324" s="60">
        <v>30</v>
      </c>
      <c r="M324" s="60">
        <f t="shared" si="9"/>
        <v>33.210910760899083</v>
      </c>
    </row>
    <row r="325" spans="1:13">
      <c r="A325">
        <v>2</v>
      </c>
      <c r="B325" t="s">
        <v>321</v>
      </c>
      <c r="C325" t="s">
        <v>321</v>
      </c>
      <c r="D325" t="s">
        <v>449</v>
      </c>
      <c r="E325" t="s">
        <v>331</v>
      </c>
      <c r="G325">
        <v>0.05</v>
      </c>
      <c r="H325">
        <v>156</v>
      </c>
      <c r="I325">
        <v>0.53</v>
      </c>
      <c r="J325">
        <v>6.56</v>
      </c>
      <c r="K325" s="51"/>
      <c r="L325" s="60">
        <v>35</v>
      </c>
      <c r="M325" s="60">
        <f t="shared" si="9"/>
        <v>36.271198438138953</v>
      </c>
    </row>
    <row r="326" spans="1:13">
      <c r="A326">
        <v>2</v>
      </c>
      <c r="B326" t="s">
        <v>349</v>
      </c>
      <c r="C326" t="s">
        <v>349</v>
      </c>
      <c r="D326" t="s">
        <v>449</v>
      </c>
      <c r="E326" t="s">
        <v>331</v>
      </c>
      <c r="G326">
        <v>0.15</v>
      </c>
      <c r="H326">
        <v>180</v>
      </c>
      <c r="I326">
        <v>0.15</v>
      </c>
      <c r="J326">
        <v>3.81</v>
      </c>
      <c r="K326" s="51"/>
      <c r="L326" s="60">
        <v>50</v>
      </c>
      <c r="M326" s="60">
        <f t="shared" si="9"/>
        <v>45.000000000000007</v>
      </c>
    </row>
    <row r="327" spans="1:13">
      <c r="A327">
        <v>2</v>
      </c>
      <c r="B327" t="s">
        <v>349</v>
      </c>
      <c r="C327" t="s">
        <v>349</v>
      </c>
      <c r="D327" t="s">
        <v>449</v>
      </c>
      <c r="E327" t="s">
        <v>331</v>
      </c>
      <c r="G327">
        <v>0.83</v>
      </c>
      <c r="H327">
        <v>202</v>
      </c>
      <c r="I327">
        <v>0.39</v>
      </c>
      <c r="J327">
        <v>3.9</v>
      </c>
      <c r="K327" s="51"/>
      <c r="L327" s="60">
        <v>70</v>
      </c>
      <c r="M327" s="60">
        <f t="shared" si="9"/>
        <v>56.789089239100917</v>
      </c>
    </row>
    <row r="328" spans="1:13">
      <c r="A328">
        <v>2</v>
      </c>
      <c r="B328" t="s">
        <v>349</v>
      </c>
      <c r="C328" t="s">
        <v>349</v>
      </c>
      <c r="D328" t="s">
        <v>449</v>
      </c>
      <c r="E328" t="s">
        <v>331</v>
      </c>
      <c r="G328">
        <v>0.48</v>
      </c>
      <c r="H328">
        <v>193</v>
      </c>
      <c r="I328">
        <v>0.44</v>
      </c>
      <c r="J328">
        <v>4.1399999999999997</v>
      </c>
      <c r="K328" s="51"/>
      <c r="L328" s="60">
        <v>45</v>
      </c>
      <c r="M328" s="60">
        <f t="shared" si="9"/>
        <v>42.130414761366609</v>
      </c>
    </row>
    <row r="329" spans="1:13">
      <c r="A329">
        <v>2</v>
      </c>
      <c r="B329" t="s">
        <v>349</v>
      </c>
      <c r="C329" t="s">
        <v>349</v>
      </c>
      <c r="D329" t="s">
        <v>449</v>
      </c>
      <c r="E329" t="s">
        <v>331</v>
      </c>
      <c r="G329">
        <v>0.92</v>
      </c>
      <c r="H329">
        <v>172</v>
      </c>
      <c r="I329">
        <v>0.42</v>
      </c>
      <c r="J329">
        <v>3.65</v>
      </c>
      <c r="K329" s="51"/>
      <c r="L329" s="60">
        <v>60</v>
      </c>
      <c r="M329" s="60">
        <f t="shared" si="9"/>
        <v>50.768479516407751</v>
      </c>
    </row>
    <row r="330" spans="1:13">
      <c r="A330">
        <v>2</v>
      </c>
      <c r="B330" t="s">
        <v>350</v>
      </c>
      <c r="C330" t="s">
        <v>350</v>
      </c>
      <c r="D330" t="s">
        <v>449</v>
      </c>
      <c r="E330" t="s">
        <v>331</v>
      </c>
      <c r="G330">
        <v>2.13</v>
      </c>
      <c r="H330">
        <v>164</v>
      </c>
      <c r="I330">
        <v>1.03</v>
      </c>
      <c r="J330">
        <v>3.99</v>
      </c>
      <c r="K330" s="51"/>
      <c r="L330" s="60">
        <v>75</v>
      </c>
      <c r="M330" s="60">
        <f t="shared" si="9"/>
        <v>59.999999999999993</v>
      </c>
    </row>
    <row r="331" spans="1:13">
      <c r="A331">
        <v>2</v>
      </c>
      <c r="B331" t="s">
        <v>350</v>
      </c>
      <c r="C331" t="s">
        <v>350</v>
      </c>
      <c r="D331" t="s">
        <v>449</v>
      </c>
      <c r="E331" t="s">
        <v>331</v>
      </c>
      <c r="G331">
        <v>2.4</v>
      </c>
      <c r="H331">
        <v>178</v>
      </c>
      <c r="I331">
        <v>1.05</v>
      </c>
      <c r="J331">
        <v>3.73</v>
      </c>
      <c r="K331" s="51"/>
      <c r="L331" s="60">
        <v>95</v>
      </c>
      <c r="M331" s="60">
        <f t="shared" si="9"/>
        <v>77.079033618416432</v>
      </c>
    </row>
    <row r="332" spans="1:13">
      <c r="A332">
        <v>2</v>
      </c>
      <c r="B332" t="s">
        <v>350</v>
      </c>
      <c r="C332" t="s">
        <v>350</v>
      </c>
      <c r="D332" t="s">
        <v>449</v>
      </c>
      <c r="E332" t="s">
        <v>331</v>
      </c>
      <c r="G332">
        <v>2.4</v>
      </c>
      <c r="H332">
        <v>148</v>
      </c>
      <c r="I332">
        <v>1.04</v>
      </c>
      <c r="J332">
        <v>3.65</v>
      </c>
      <c r="K332" s="51"/>
      <c r="L332" s="60">
        <v>65</v>
      </c>
      <c r="M332" s="60">
        <f t="shared" si="9"/>
        <v>53.728801561861061</v>
      </c>
    </row>
    <row r="333" spans="1:13">
      <c r="A333">
        <v>2</v>
      </c>
      <c r="B333" t="s">
        <v>350</v>
      </c>
      <c r="C333" t="s">
        <v>350</v>
      </c>
      <c r="D333" t="s">
        <v>449</v>
      </c>
      <c r="E333" t="s">
        <v>331</v>
      </c>
      <c r="G333">
        <v>2.2599999999999998</v>
      </c>
      <c r="H333">
        <v>158</v>
      </c>
      <c r="I333">
        <v>1.04</v>
      </c>
      <c r="J333">
        <v>3.87</v>
      </c>
      <c r="K333" s="51"/>
      <c r="L333" s="60">
        <v>70</v>
      </c>
      <c r="M333" s="60">
        <f t="shared" si="9"/>
        <v>56.789089239100917</v>
      </c>
    </row>
    <row r="334" spans="1:13">
      <c r="A334">
        <v>2</v>
      </c>
      <c r="B334" t="s">
        <v>323</v>
      </c>
      <c r="C334" t="s">
        <v>323</v>
      </c>
      <c r="D334" t="s">
        <v>449</v>
      </c>
      <c r="E334" t="s">
        <v>331</v>
      </c>
      <c r="G334">
        <v>0.16</v>
      </c>
      <c r="H334">
        <v>186</v>
      </c>
      <c r="I334">
        <v>0.54</v>
      </c>
      <c r="J334">
        <v>3.99</v>
      </c>
      <c r="K334" s="51"/>
      <c r="L334" s="60">
        <v>35</v>
      </c>
      <c r="M334" s="60">
        <f t="shared" si="9"/>
        <v>36.271198438138953</v>
      </c>
    </row>
    <row r="335" spans="1:13">
      <c r="A335">
        <v>2</v>
      </c>
      <c r="B335" t="s">
        <v>323</v>
      </c>
      <c r="C335" t="s">
        <v>323</v>
      </c>
      <c r="D335" t="s">
        <v>449</v>
      </c>
      <c r="E335" t="s">
        <v>331</v>
      </c>
      <c r="G335">
        <v>0.49</v>
      </c>
      <c r="H335">
        <v>172</v>
      </c>
      <c r="I335">
        <v>0.65</v>
      </c>
      <c r="J335">
        <v>3.52</v>
      </c>
      <c r="K335" s="51"/>
      <c r="L335" s="60">
        <v>40</v>
      </c>
      <c r="M335" s="60">
        <f t="shared" si="9"/>
        <v>39.231520483592263</v>
      </c>
    </row>
    <row r="336" spans="1:13">
      <c r="A336">
        <v>2</v>
      </c>
      <c r="B336" t="s">
        <v>323</v>
      </c>
      <c r="C336" t="s">
        <v>323</v>
      </c>
      <c r="D336" t="s">
        <v>449</v>
      </c>
      <c r="E336" t="s">
        <v>331</v>
      </c>
      <c r="G336">
        <v>0.15</v>
      </c>
      <c r="H336">
        <v>179</v>
      </c>
      <c r="I336">
        <v>0.45</v>
      </c>
      <c r="J336">
        <v>3.85</v>
      </c>
      <c r="K336" s="51"/>
      <c r="L336" s="60">
        <v>10</v>
      </c>
      <c r="M336" s="60">
        <f t="shared" si="9"/>
        <v>18.434948822922014</v>
      </c>
    </row>
    <row r="337" spans="1:13">
      <c r="A337">
        <v>2</v>
      </c>
      <c r="B337" t="s">
        <v>323</v>
      </c>
      <c r="C337" t="s">
        <v>323</v>
      </c>
      <c r="D337" t="s">
        <v>449</v>
      </c>
      <c r="E337" t="s">
        <v>331</v>
      </c>
      <c r="G337">
        <v>0.21</v>
      </c>
      <c r="H337">
        <v>185</v>
      </c>
      <c r="I337">
        <v>0.68</v>
      </c>
      <c r="J337">
        <v>3.73</v>
      </c>
      <c r="K337" s="51"/>
      <c r="L337" s="60">
        <v>30</v>
      </c>
      <c r="M337" s="60">
        <f t="shared" si="9"/>
        <v>33.210910760899083</v>
      </c>
    </row>
    <row r="338" spans="1:13">
      <c r="A338">
        <v>2</v>
      </c>
      <c r="B338" t="s">
        <v>322</v>
      </c>
      <c r="C338" t="s">
        <v>322</v>
      </c>
      <c r="D338" t="s">
        <v>449</v>
      </c>
      <c r="E338" t="s">
        <v>331</v>
      </c>
      <c r="G338">
        <v>0.2</v>
      </c>
      <c r="H338">
        <v>158</v>
      </c>
      <c r="I338">
        <v>0.87</v>
      </c>
      <c r="J338">
        <v>3.96</v>
      </c>
      <c r="K338" s="51"/>
      <c r="L338" s="60">
        <v>40</v>
      </c>
      <c r="M338" s="60">
        <f t="shared" si="9"/>
        <v>39.231520483592263</v>
      </c>
    </row>
    <row r="339" spans="1:13">
      <c r="A339">
        <v>2</v>
      </c>
      <c r="B339" t="s">
        <v>322</v>
      </c>
      <c r="C339" t="s">
        <v>322</v>
      </c>
      <c r="D339" t="s">
        <v>449</v>
      </c>
      <c r="E339" t="s">
        <v>331</v>
      </c>
      <c r="G339">
        <v>0.24</v>
      </c>
      <c r="H339">
        <v>186</v>
      </c>
      <c r="I339">
        <v>0.93</v>
      </c>
      <c r="J339">
        <v>3.24</v>
      </c>
      <c r="K339" s="51"/>
      <c r="L339" s="60">
        <v>30</v>
      </c>
      <c r="M339" s="60">
        <f t="shared" si="9"/>
        <v>33.210910760899083</v>
      </c>
    </row>
    <row r="340" spans="1:13">
      <c r="A340">
        <v>2</v>
      </c>
      <c r="B340" t="s">
        <v>322</v>
      </c>
      <c r="C340" t="s">
        <v>322</v>
      </c>
      <c r="D340" t="s">
        <v>449</v>
      </c>
      <c r="E340" t="s">
        <v>331</v>
      </c>
      <c r="G340">
        <v>0.16</v>
      </c>
      <c r="H340">
        <v>158</v>
      </c>
      <c r="I340">
        <v>0.79</v>
      </c>
      <c r="J340">
        <v>4.12</v>
      </c>
      <c r="K340" s="51"/>
      <c r="L340" s="60">
        <v>10</v>
      </c>
      <c r="M340" s="60">
        <f t="shared" si="9"/>
        <v>18.434948822922014</v>
      </c>
    </row>
    <row r="341" spans="1:13">
      <c r="A341">
        <v>2</v>
      </c>
      <c r="B341" t="s">
        <v>322</v>
      </c>
      <c r="C341" t="s">
        <v>322</v>
      </c>
      <c r="D341" t="s">
        <v>449</v>
      </c>
      <c r="E341" t="s">
        <v>331</v>
      </c>
      <c r="G341">
        <v>0.22</v>
      </c>
      <c r="H341">
        <v>144</v>
      </c>
      <c r="I341">
        <v>0.88</v>
      </c>
      <c r="J341">
        <v>3.74</v>
      </c>
      <c r="K341" s="51"/>
      <c r="L341" s="60">
        <v>30</v>
      </c>
      <c r="M341" s="60">
        <f t="shared" si="9"/>
        <v>33.210910760899083</v>
      </c>
    </row>
    <row r="342" spans="1:13">
      <c r="A342">
        <v>1</v>
      </c>
      <c r="B342" t="s">
        <v>351</v>
      </c>
      <c r="C342" t="s">
        <v>324</v>
      </c>
      <c r="D342" t="s">
        <v>336</v>
      </c>
      <c r="E342" t="s">
        <v>336</v>
      </c>
      <c r="G342">
        <v>0.05</v>
      </c>
      <c r="H342">
        <v>196</v>
      </c>
      <c r="I342">
        <v>0.15</v>
      </c>
      <c r="J342">
        <v>4.6159999999999997</v>
      </c>
      <c r="K342">
        <v>0.69</v>
      </c>
      <c r="L342" s="60">
        <v>0</v>
      </c>
      <c r="M342" s="60">
        <f t="shared" si="9"/>
        <v>0</v>
      </c>
    </row>
    <row r="343" spans="1:13">
      <c r="A343">
        <v>1</v>
      </c>
      <c r="B343" t="s">
        <v>351</v>
      </c>
      <c r="C343" t="s">
        <v>324</v>
      </c>
      <c r="D343" t="s">
        <v>336</v>
      </c>
      <c r="E343" t="s">
        <v>336</v>
      </c>
      <c r="G343">
        <v>0.05</v>
      </c>
      <c r="H343">
        <v>202</v>
      </c>
      <c r="I343">
        <v>0.03</v>
      </c>
      <c r="J343">
        <v>4.5499999999999989</v>
      </c>
      <c r="K343">
        <v>0.56999999999999995</v>
      </c>
      <c r="L343" s="60">
        <v>0</v>
      </c>
      <c r="M343" s="60">
        <f t="shared" si="9"/>
        <v>0</v>
      </c>
    </row>
    <row r="344" spans="1:13">
      <c r="A344">
        <v>1</v>
      </c>
      <c r="B344" t="s">
        <v>352</v>
      </c>
      <c r="C344" t="s">
        <v>325</v>
      </c>
      <c r="D344" t="s">
        <v>336</v>
      </c>
      <c r="E344" t="s">
        <v>336</v>
      </c>
      <c r="G344">
        <v>0.05</v>
      </c>
      <c r="H344">
        <v>188</v>
      </c>
      <c r="I344">
        <v>0.04</v>
      </c>
      <c r="J344">
        <v>4.596000000000001</v>
      </c>
      <c r="K344">
        <v>0.51</v>
      </c>
      <c r="L344" s="60">
        <v>0</v>
      </c>
      <c r="M344" s="60">
        <f t="shared" si="9"/>
        <v>0</v>
      </c>
    </row>
    <row r="345" spans="1:13">
      <c r="A345">
        <v>1</v>
      </c>
      <c r="B345" t="s">
        <v>352</v>
      </c>
      <c r="C345" t="s">
        <v>325</v>
      </c>
      <c r="D345" t="s">
        <v>336</v>
      </c>
      <c r="E345" t="s">
        <v>336</v>
      </c>
      <c r="G345">
        <v>0.05</v>
      </c>
      <c r="H345">
        <v>202</v>
      </c>
      <c r="I345">
        <v>0.04</v>
      </c>
      <c r="J345">
        <v>4.4700000000000006</v>
      </c>
      <c r="K345">
        <v>0.61</v>
      </c>
      <c r="L345" s="60">
        <v>0</v>
      </c>
      <c r="M345" s="60">
        <f t="shared" si="9"/>
        <v>0</v>
      </c>
    </row>
    <row r="346" spans="1:13">
      <c r="A346">
        <v>2</v>
      </c>
      <c r="B346" t="s">
        <v>351</v>
      </c>
      <c r="C346" t="s">
        <v>324</v>
      </c>
      <c r="D346" t="s">
        <v>336</v>
      </c>
      <c r="E346" t="s">
        <v>336</v>
      </c>
      <c r="G346">
        <v>0.05</v>
      </c>
      <c r="H346">
        <v>180</v>
      </c>
      <c r="I346">
        <v>0.19</v>
      </c>
      <c r="J346">
        <v>4.6780000000000008</v>
      </c>
      <c r="K346">
        <v>0.56999999999999995</v>
      </c>
      <c r="L346" s="60">
        <v>0</v>
      </c>
      <c r="M346" s="60">
        <f t="shared" si="9"/>
        <v>0</v>
      </c>
    </row>
    <row r="347" spans="1:13">
      <c r="A347">
        <v>2</v>
      </c>
      <c r="B347" t="s">
        <v>351</v>
      </c>
      <c r="C347" t="s">
        <v>324</v>
      </c>
      <c r="D347" t="s">
        <v>336</v>
      </c>
      <c r="E347" t="s">
        <v>336</v>
      </c>
      <c r="G347">
        <v>0.05</v>
      </c>
      <c r="H347">
        <v>174</v>
      </c>
      <c r="I347">
        <v>0.21</v>
      </c>
      <c r="J347">
        <v>4.6879999999999997</v>
      </c>
      <c r="K347">
        <v>0.62</v>
      </c>
      <c r="L347" s="60">
        <v>0</v>
      </c>
      <c r="M347" s="60">
        <f t="shared" si="9"/>
        <v>0</v>
      </c>
    </row>
    <row r="348" spans="1:13">
      <c r="A348">
        <v>2</v>
      </c>
      <c r="B348" t="s">
        <v>352</v>
      </c>
      <c r="C348" t="s">
        <v>325</v>
      </c>
      <c r="D348" t="s">
        <v>336</v>
      </c>
      <c r="E348" t="s">
        <v>336</v>
      </c>
      <c r="G348">
        <v>0.05</v>
      </c>
      <c r="H348">
        <v>142</v>
      </c>
      <c r="I348">
        <v>0.09</v>
      </c>
      <c r="J348">
        <v>4.9480000000000004</v>
      </c>
      <c r="K348">
        <v>0.85</v>
      </c>
      <c r="L348" s="60">
        <v>0</v>
      </c>
      <c r="M348" s="60">
        <f t="shared" si="9"/>
        <v>0</v>
      </c>
    </row>
    <row r="349" spans="1:13">
      <c r="A349">
        <v>2</v>
      </c>
      <c r="B349" t="s">
        <v>352</v>
      </c>
      <c r="C349" t="s">
        <v>325</v>
      </c>
      <c r="D349" t="s">
        <v>336</v>
      </c>
      <c r="E349" t="s">
        <v>336</v>
      </c>
      <c r="G349">
        <v>0.05</v>
      </c>
      <c r="H349">
        <v>142</v>
      </c>
      <c r="I349">
        <v>0.15</v>
      </c>
      <c r="J349">
        <v>4.8439999999999994</v>
      </c>
      <c r="K349">
        <v>0.7</v>
      </c>
      <c r="L349" s="60">
        <v>0</v>
      </c>
      <c r="M349" s="60">
        <f t="shared" si="9"/>
        <v>0</v>
      </c>
    </row>
    <row r="350" spans="1:13">
      <c r="A350">
        <v>1</v>
      </c>
      <c r="B350" t="s">
        <v>351</v>
      </c>
      <c r="C350" t="s">
        <v>324</v>
      </c>
      <c r="D350" t="s">
        <v>336</v>
      </c>
      <c r="E350" t="s">
        <v>336</v>
      </c>
      <c r="G350">
        <v>0.05</v>
      </c>
      <c r="H350">
        <v>196</v>
      </c>
      <c r="I350">
        <v>0.15</v>
      </c>
      <c r="J350">
        <v>4.6159999999999997</v>
      </c>
      <c r="K350">
        <v>0.69</v>
      </c>
      <c r="L350">
        <v>0</v>
      </c>
      <c r="M350">
        <v>0</v>
      </c>
    </row>
    <row r="351" spans="1:13">
      <c r="A351">
        <v>1</v>
      </c>
      <c r="B351" t="s">
        <v>351</v>
      </c>
      <c r="C351" t="s">
        <v>324</v>
      </c>
      <c r="D351" t="s">
        <v>336</v>
      </c>
      <c r="E351" t="s">
        <v>336</v>
      </c>
      <c r="G351">
        <v>0.05</v>
      </c>
      <c r="H351">
        <v>202</v>
      </c>
      <c r="I351">
        <v>0.03</v>
      </c>
      <c r="J351">
        <v>4.5499999999999989</v>
      </c>
      <c r="K351">
        <v>0.56999999999999995</v>
      </c>
      <c r="L351">
        <v>0</v>
      </c>
      <c r="M351">
        <v>0</v>
      </c>
    </row>
    <row r="352" spans="1:13">
      <c r="A352">
        <v>1</v>
      </c>
      <c r="B352" t="s">
        <v>352</v>
      </c>
      <c r="C352" t="s">
        <v>325</v>
      </c>
      <c r="D352" t="s">
        <v>336</v>
      </c>
      <c r="E352" t="s">
        <v>336</v>
      </c>
      <c r="G352">
        <v>0.05</v>
      </c>
      <c r="H352">
        <v>188</v>
      </c>
      <c r="I352">
        <v>0.04</v>
      </c>
      <c r="J352">
        <v>4.596000000000001</v>
      </c>
      <c r="K352">
        <v>0.51</v>
      </c>
      <c r="L352">
        <v>0</v>
      </c>
      <c r="M352">
        <v>0</v>
      </c>
    </row>
    <row r="353" spans="1:13">
      <c r="A353">
        <v>1</v>
      </c>
      <c r="B353" t="s">
        <v>352</v>
      </c>
      <c r="C353" t="s">
        <v>325</v>
      </c>
      <c r="D353" t="s">
        <v>336</v>
      </c>
      <c r="E353" t="s">
        <v>336</v>
      </c>
      <c r="G353">
        <v>0.05</v>
      </c>
      <c r="H353">
        <v>202</v>
      </c>
      <c r="I353">
        <v>0.04</v>
      </c>
      <c r="J353">
        <v>4.4700000000000006</v>
      </c>
      <c r="K353">
        <v>0.61</v>
      </c>
      <c r="L353">
        <v>0</v>
      </c>
      <c r="M353">
        <v>0</v>
      </c>
    </row>
    <row r="354" spans="1:13">
      <c r="A354">
        <v>2</v>
      </c>
      <c r="B354" t="s">
        <v>351</v>
      </c>
      <c r="C354" t="s">
        <v>324</v>
      </c>
      <c r="D354" t="s">
        <v>336</v>
      </c>
      <c r="E354" t="s">
        <v>336</v>
      </c>
      <c r="G354">
        <v>0.05</v>
      </c>
      <c r="H354">
        <v>180</v>
      </c>
      <c r="I354">
        <v>0.19</v>
      </c>
      <c r="J354">
        <v>4.6780000000000008</v>
      </c>
      <c r="K354">
        <v>0.56999999999999995</v>
      </c>
      <c r="L354">
        <v>0</v>
      </c>
      <c r="M354">
        <v>0</v>
      </c>
    </row>
    <row r="355" spans="1:13">
      <c r="A355">
        <v>2</v>
      </c>
      <c r="B355" t="s">
        <v>351</v>
      </c>
      <c r="C355" t="s">
        <v>324</v>
      </c>
      <c r="D355" t="s">
        <v>336</v>
      </c>
      <c r="E355" t="s">
        <v>336</v>
      </c>
      <c r="G355">
        <v>0.05</v>
      </c>
      <c r="H355">
        <v>174</v>
      </c>
      <c r="I355">
        <v>0.21</v>
      </c>
      <c r="J355">
        <v>4.6879999999999997</v>
      </c>
      <c r="K355">
        <v>0.62</v>
      </c>
      <c r="L355">
        <v>0</v>
      </c>
      <c r="M355">
        <v>0</v>
      </c>
    </row>
    <row r="356" spans="1:13">
      <c r="A356">
        <v>2</v>
      </c>
      <c r="B356" t="s">
        <v>352</v>
      </c>
      <c r="C356" t="s">
        <v>325</v>
      </c>
      <c r="D356" t="s">
        <v>336</v>
      </c>
      <c r="E356" t="s">
        <v>336</v>
      </c>
      <c r="G356">
        <v>0.05</v>
      </c>
      <c r="H356">
        <v>142</v>
      </c>
      <c r="I356">
        <v>0.09</v>
      </c>
      <c r="J356">
        <v>4.9480000000000004</v>
      </c>
      <c r="K356">
        <v>0.85</v>
      </c>
      <c r="L356">
        <v>0</v>
      </c>
      <c r="M356">
        <v>0</v>
      </c>
    </row>
    <row r="357" spans="1:13">
      <c r="A357">
        <v>2</v>
      </c>
      <c r="B357" t="s">
        <v>352</v>
      </c>
      <c r="C357" t="s">
        <v>325</v>
      </c>
      <c r="D357" t="s">
        <v>336</v>
      </c>
      <c r="E357" t="s">
        <v>336</v>
      </c>
      <c r="G357">
        <v>0.05</v>
      </c>
      <c r="H357">
        <v>142</v>
      </c>
      <c r="I357">
        <v>0.15</v>
      </c>
      <c r="J357">
        <v>4.8439999999999994</v>
      </c>
      <c r="K357">
        <v>0.7</v>
      </c>
      <c r="L357">
        <v>0</v>
      </c>
      <c r="M3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3"/>
  <sheetViews>
    <sheetView workbookViewId="0">
      <selection activeCell="O25" sqref="O25"/>
    </sheetView>
  </sheetViews>
  <sheetFormatPr defaultRowHeight="15"/>
  <cols>
    <col min="4" max="4" width="27.88671875" bestFit="1" customWidth="1"/>
    <col min="5" max="5" width="27.88671875" customWidth="1"/>
    <col min="7" max="7" width="10.109375" customWidth="1"/>
    <col min="8" max="8" width="9" customWidth="1"/>
    <col min="12" max="12" width="11.6640625" bestFit="1" customWidth="1"/>
  </cols>
  <sheetData>
    <row r="1" spans="1:12">
      <c r="A1" t="s">
        <v>337</v>
      </c>
      <c r="B1" t="s">
        <v>337</v>
      </c>
      <c r="C1" t="s">
        <v>378</v>
      </c>
      <c r="D1" t="s">
        <v>379</v>
      </c>
      <c r="E1" t="s">
        <v>344</v>
      </c>
      <c r="F1" t="s">
        <v>380</v>
      </c>
      <c r="G1" t="s">
        <v>381</v>
      </c>
      <c r="H1" t="s">
        <v>382</v>
      </c>
      <c r="L1" t="s">
        <v>447</v>
      </c>
    </row>
    <row r="2" spans="1:12">
      <c r="A2" t="s">
        <v>338</v>
      </c>
      <c r="B2">
        <v>1</v>
      </c>
      <c r="C2">
        <v>1</v>
      </c>
      <c r="D2" t="s">
        <v>383</v>
      </c>
      <c r="E2" t="s">
        <v>383</v>
      </c>
      <c r="F2">
        <v>1</v>
      </c>
      <c r="G2" s="60">
        <v>35</v>
      </c>
      <c r="H2" s="60">
        <v>36.271198438138953</v>
      </c>
      <c r="L2" t="s">
        <v>412</v>
      </c>
    </row>
    <row r="3" spans="1:12">
      <c r="A3" t="s">
        <v>338</v>
      </c>
      <c r="B3">
        <v>1</v>
      </c>
      <c r="C3">
        <v>1</v>
      </c>
      <c r="D3" t="s">
        <v>383</v>
      </c>
      <c r="E3" t="s">
        <v>383</v>
      </c>
      <c r="F3">
        <v>2</v>
      </c>
      <c r="G3" s="60">
        <v>41.666666666666671</v>
      </c>
      <c r="H3" s="60">
        <v>40.202965886569778</v>
      </c>
      <c r="L3" t="s">
        <v>384</v>
      </c>
    </row>
    <row r="4" spans="1:12">
      <c r="A4" t="s">
        <v>338</v>
      </c>
      <c r="B4">
        <v>1</v>
      </c>
      <c r="C4">
        <v>1</v>
      </c>
      <c r="D4" t="s">
        <v>383</v>
      </c>
      <c r="E4" t="s">
        <v>383</v>
      </c>
      <c r="F4">
        <v>3</v>
      </c>
      <c r="G4" s="60">
        <v>36.538461538461533</v>
      </c>
      <c r="H4" s="60">
        <v>37.190750862175719</v>
      </c>
      <c r="L4" t="s">
        <v>426</v>
      </c>
    </row>
    <row r="5" spans="1:12">
      <c r="A5" t="s">
        <v>339</v>
      </c>
      <c r="B5">
        <v>2</v>
      </c>
      <c r="C5">
        <v>1</v>
      </c>
      <c r="D5" t="s">
        <v>383</v>
      </c>
      <c r="E5" t="s">
        <v>383</v>
      </c>
      <c r="F5">
        <v>1</v>
      </c>
      <c r="G5" s="60">
        <v>42.5</v>
      </c>
      <c r="H5" s="60">
        <v>40.686536720660683</v>
      </c>
      <c r="L5" t="s">
        <v>385</v>
      </c>
    </row>
    <row r="6" spans="1:12">
      <c r="A6" t="s">
        <v>339</v>
      </c>
      <c r="B6">
        <v>2</v>
      </c>
      <c r="C6">
        <v>1</v>
      </c>
      <c r="D6" t="s">
        <v>383</v>
      </c>
      <c r="E6" t="s">
        <v>383</v>
      </c>
      <c r="F6">
        <v>2</v>
      </c>
      <c r="G6" s="60">
        <v>45.833333333333329</v>
      </c>
      <c r="H6" s="60">
        <v>42.609904076400426</v>
      </c>
      <c r="L6" t="s">
        <v>401</v>
      </c>
    </row>
    <row r="7" spans="1:12">
      <c r="A7" t="s">
        <v>339</v>
      </c>
      <c r="B7">
        <v>2</v>
      </c>
      <c r="C7">
        <v>1</v>
      </c>
      <c r="D7" t="s">
        <v>383</v>
      </c>
      <c r="E7" t="s">
        <v>383</v>
      </c>
      <c r="F7">
        <v>3</v>
      </c>
      <c r="G7" s="60">
        <v>52.272727272727273</v>
      </c>
      <c r="H7" s="60">
        <v>46.302625632528645</v>
      </c>
      <c r="L7" t="s">
        <v>386</v>
      </c>
    </row>
    <row r="8" spans="1:12">
      <c r="A8" t="s">
        <v>338</v>
      </c>
      <c r="B8">
        <v>1</v>
      </c>
      <c r="C8">
        <v>2</v>
      </c>
      <c r="D8" t="s">
        <v>387</v>
      </c>
      <c r="E8" t="s">
        <v>387</v>
      </c>
      <c r="F8">
        <v>1</v>
      </c>
      <c r="G8" s="60">
        <v>30.357142857142851</v>
      </c>
      <c r="H8" s="60">
        <v>33.433801800351063</v>
      </c>
      <c r="L8" t="s">
        <v>422</v>
      </c>
    </row>
    <row r="9" spans="1:12">
      <c r="A9" t="s">
        <v>338</v>
      </c>
      <c r="B9">
        <v>1</v>
      </c>
      <c r="C9">
        <v>2</v>
      </c>
      <c r="D9" t="s">
        <v>387</v>
      </c>
      <c r="E9" t="s">
        <v>387</v>
      </c>
      <c r="F9">
        <v>2</v>
      </c>
      <c r="G9" s="60">
        <v>26.666666666666671</v>
      </c>
      <c r="H9" s="60">
        <v>31.090930357673042</v>
      </c>
      <c r="L9" t="s">
        <v>388</v>
      </c>
    </row>
    <row r="10" spans="1:12">
      <c r="A10" t="s">
        <v>338</v>
      </c>
      <c r="B10">
        <v>1</v>
      </c>
      <c r="C10">
        <v>2</v>
      </c>
      <c r="D10" t="s">
        <v>387</v>
      </c>
      <c r="E10" t="s">
        <v>387</v>
      </c>
      <c r="F10">
        <v>3</v>
      </c>
      <c r="G10" s="60">
        <v>31.666666666666661</v>
      </c>
      <c r="H10" s="60">
        <v>34.244905866556259</v>
      </c>
      <c r="L10" t="s">
        <v>389</v>
      </c>
    </row>
    <row r="11" spans="1:12">
      <c r="A11" t="s">
        <v>339</v>
      </c>
      <c r="B11">
        <v>2</v>
      </c>
      <c r="C11">
        <v>2</v>
      </c>
      <c r="D11" t="s">
        <v>387</v>
      </c>
      <c r="E11" t="s">
        <v>387</v>
      </c>
      <c r="F11">
        <v>1</v>
      </c>
      <c r="G11" s="60">
        <v>4.5454545454545459</v>
      </c>
      <c r="H11" s="60">
        <v>12.30998866432855</v>
      </c>
      <c r="L11" t="s">
        <v>390</v>
      </c>
    </row>
    <row r="12" spans="1:12">
      <c r="A12" t="s">
        <v>339</v>
      </c>
      <c r="B12">
        <v>2</v>
      </c>
      <c r="C12">
        <v>2</v>
      </c>
      <c r="D12" t="s">
        <v>387</v>
      </c>
      <c r="E12" t="s">
        <v>387</v>
      </c>
      <c r="F12">
        <v>2</v>
      </c>
      <c r="G12" s="60">
        <v>4.5454545454545459</v>
      </c>
      <c r="H12" s="60">
        <v>12.30998866432855</v>
      </c>
      <c r="L12" t="s">
        <v>391</v>
      </c>
    </row>
    <row r="13" spans="1:12">
      <c r="A13" t="s">
        <v>339</v>
      </c>
      <c r="B13">
        <v>2</v>
      </c>
      <c r="C13">
        <v>2</v>
      </c>
      <c r="D13" t="s">
        <v>387</v>
      </c>
      <c r="E13" t="s">
        <v>387</v>
      </c>
      <c r="F13">
        <v>3</v>
      </c>
      <c r="G13" s="60">
        <v>2.2727272727272729</v>
      </c>
      <c r="H13" s="60">
        <v>8.6707214013798826</v>
      </c>
      <c r="L13" t="s">
        <v>392</v>
      </c>
    </row>
    <row r="14" spans="1:12">
      <c r="A14" t="s">
        <v>338</v>
      </c>
      <c r="B14">
        <v>1</v>
      </c>
      <c r="C14">
        <v>3</v>
      </c>
      <c r="D14" t="s">
        <v>394</v>
      </c>
      <c r="E14" t="s">
        <v>394</v>
      </c>
      <c r="F14">
        <v>1</v>
      </c>
      <c r="G14" s="60">
        <v>60</v>
      </c>
      <c r="H14" s="60">
        <v>50.768479516407751</v>
      </c>
      <c r="L14" t="s">
        <v>393</v>
      </c>
    </row>
    <row r="15" spans="1:12">
      <c r="A15" t="s">
        <v>338</v>
      </c>
      <c r="B15">
        <v>1</v>
      </c>
      <c r="C15">
        <v>3</v>
      </c>
      <c r="D15" t="s">
        <v>394</v>
      </c>
      <c r="E15" t="s">
        <v>394</v>
      </c>
      <c r="F15">
        <v>2</v>
      </c>
      <c r="G15" s="60">
        <v>46.666666666666657</v>
      </c>
      <c r="H15" s="60">
        <v>43.08872313536282</v>
      </c>
      <c r="L15" t="s">
        <v>394</v>
      </c>
    </row>
    <row r="16" spans="1:12">
      <c r="A16" t="s">
        <v>338</v>
      </c>
      <c r="B16">
        <v>1</v>
      </c>
      <c r="C16">
        <v>3</v>
      </c>
      <c r="D16" t="s">
        <v>394</v>
      </c>
      <c r="E16" t="s">
        <v>394</v>
      </c>
      <c r="F16">
        <v>3</v>
      </c>
      <c r="G16" s="60">
        <v>51.666666666666671</v>
      </c>
      <c r="H16" s="60">
        <v>45.955106585854971</v>
      </c>
      <c r="L16" t="s">
        <v>414</v>
      </c>
    </row>
    <row r="17" spans="1:12">
      <c r="A17" t="s">
        <v>339</v>
      </c>
      <c r="B17">
        <v>2</v>
      </c>
      <c r="C17">
        <v>3</v>
      </c>
      <c r="D17" t="s">
        <v>394</v>
      </c>
      <c r="E17" t="s">
        <v>394</v>
      </c>
      <c r="F17">
        <v>1</v>
      </c>
      <c r="G17" s="60">
        <v>47.727272727272727</v>
      </c>
      <c r="H17" s="60">
        <v>43.697374367471362</v>
      </c>
      <c r="L17" t="s">
        <v>446</v>
      </c>
    </row>
    <row r="18" spans="1:12">
      <c r="A18" t="s">
        <v>339</v>
      </c>
      <c r="B18">
        <v>2</v>
      </c>
      <c r="C18">
        <v>3</v>
      </c>
      <c r="D18" t="s">
        <v>394</v>
      </c>
      <c r="E18" t="s">
        <v>394</v>
      </c>
      <c r="F18">
        <v>2</v>
      </c>
      <c r="G18" s="60">
        <v>37.5</v>
      </c>
      <c r="H18" s="60">
        <v>37.761243907035038</v>
      </c>
      <c r="L18" t="s">
        <v>395</v>
      </c>
    </row>
    <row r="19" spans="1:12">
      <c r="A19" t="s">
        <v>339</v>
      </c>
      <c r="B19">
        <v>2</v>
      </c>
      <c r="C19">
        <v>3</v>
      </c>
      <c r="D19" t="s">
        <v>394</v>
      </c>
      <c r="E19" t="s">
        <v>394</v>
      </c>
      <c r="F19">
        <v>3</v>
      </c>
      <c r="G19" s="60">
        <v>37.5</v>
      </c>
      <c r="H19" s="60">
        <v>37.761243907035038</v>
      </c>
      <c r="L19" t="s">
        <v>438</v>
      </c>
    </row>
    <row r="20" spans="1:12">
      <c r="A20" t="s">
        <v>338</v>
      </c>
      <c r="B20">
        <v>1</v>
      </c>
      <c r="C20">
        <v>4</v>
      </c>
      <c r="D20" t="s">
        <v>391</v>
      </c>
      <c r="E20" t="s">
        <v>391</v>
      </c>
      <c r="F20">
        <v>1</v>
      </c>
      <c r="G20" s="60">
        <v>51.666666666666671</v>
      </c>
      <c r="H20" s="60">
        <v>45.955106585854971</v>
      </c>
      <c r="L20" t="s">
        <v>396</v>
      </c>
    </row>
    <row r="21" spans="1:12">
      <c r="A21" t="s">
        <v>338</v>
      </c>
      <c r="B21">
        <v>1</v>
      </c>
      <c r="C21">
        <v>4</v>
      </c>
      <c r="D21" t="s">
        <v>391</v>
      </c>
      <c r="E21" t="s">
        <v>391</v>
      </c>
      <c r="F21">
        <v>2</v>
      </c>
      <c r="G21" s="60">
        <v>50</v>
      </c>
      <c r="H21" s="60">
        <v>45.000000000000007</v>
      </c>
      <c r="L21" t="s">
        <v>397</v>
      </c>
    </row>
    <row r="22" spans="1:12">
      <c r="A22" t="s">
        <v>338</v>
      </c>
      <c r="B22">
        <v>1</v>
      </c>
      <c r="C22">
        <v>4</v>
      </c>
      <c r="D22" t="s">
        <v>391</v>
      </c>
      <c r="E22" t="s">
        <v>391</v>
      </c>
      <c r="F22">
        <v>3</v>
      </c>
      <c r="G22" s="60">
        <v>53.333333333333343</v>
      </c>
      <c r="H22" s="60">
        <v>46.91127686463718</v>
      </c>
      <c r="L22" t="s">
        <v>398</v>
      </c>
    </row>
    <row r="23" spans="1:12">
      <c r="A23" t="s">
        <v>339</v>
      </c>
      <c r="B23">
        <v>2</v>
      </c>
      <c r="C23">
        <v>4</v>
      </c>
      <c r="D23" t="s">
        <v>391</v>
      </c>
      <c r="E23" t="s">
        <v>391</v>
      </c>
      <c r="F23">
        <v>1</v>
      </c>
      <c r="G23" s="60">
        <v>52.272727272727273</v>
      </c>
      <c r="H23" s="60">
        <v>46.302625632528645</v>
      </c>
      <c r="L23" t="s">
        <v>399</v>
      </c>
    </row>
    <row r="24" spans="1:12">
      <c r="A24" t="s">
        <v>339</v>
      </c>
      <c r="B24">
        <v>2</v>
      </c>
      <c r="C24">
        <v>4</v>
      </c>
      <c r="D24" t="s">
        <v>391</v>
      </c>
      <c r="E24" t="s">
        <v>391</v>
      </c>
      <c r="F24">
        <v>2</v>
      </c>
      <c r="G24" s="60">
        <v>52.272727272727273</v>
      </c>
      <c r="H24" s="60">
        <v>46.302625632528645</v>
      </c>
      <c r="L24" t="s">
        <v>434</v>
      </c>
    </row>
    <row r="25" spans="1:12">
      <c r="A25" t="s">
        <v>339</v>
      </c>
      <c r="B25">
        <v>2</v>
      </c>
      <c r="C25">
        <v>4</v>
      </c>
      <c r="D25" t="s">
        <v>391</v>
      </c>
      <c r="E25" t="s">
        <v>391</v>
      </c>
      <c r="F25">
        <v>3</v>
      </c>
      <c r="G25" s="60">
        <v>47.916666666666671</v>
      </c>
      <c r="H25" s="60">
        <v>43.805992268365614</v>
      </c>
      <c r="L25" t="s">
        <v>430</v>
      </c>
    </row>
    <row r="26" spans="1:12">
      <c r="A26" t="s">
        <v>338</v>
      </c>
      <c r="B26">
        <v>1</v>
      </c>
      <c r="C26">
        <v>5</v>
      </c>
      <c r="D26" t="s">
        <v>401</v>
      </c>
      <c r="E26" t="s">
        <v>401</v>
      </c>
      <c r="F26">
        <v>1</v>
      </c>
      <c r="G26" s="60">
        <v>60</v>
      </c>
      <c r="H26" s="60">
        <v>50.768479516407751</v>
      </c>
      <c r="L26" t="s">
        <v>400</v>
      </c>
    </row>
    <row r="27" spans="1:12">
      <c r="A27" t="s">
        <v>338</v>
      </c>
      <c r="B27">
        <v>1</v>
      </c>
      <c r="C27">
        <v>5</v>
      </c>
      <c r="D27" t="s">
        <v>401</v>
      </c>
      <c r="E27" t="s">
        <v>401</v>
      </c>
      <c r="F27">
        <v>2</v>
      </c>
      <c r="G27" s="60">
        <v>60</v>
      </c>
      <c r="H27" s="60">
        <v>50.768479516407751</v>
      </c>
      <c r="L27" t="s">
        <v>418</v>
      </c>
    </row>
    <row r="28" spans="1:12">
      <c r="A28" t="s">
        <v>338</v>
      </c>
      <c r="B28">
        <v>1</v>
      </c>
      <c r="C28">
        <v>5</v>
      </c>
      <c r="D28" t="s">
        <v>401</v>
      </c>
      <c r="E28" t="s">
        <v>401</v>
      </c>
      <c r="F28">
        <v>3</v>
      </c>
      <c r="G28" s="60">
        <v>67.857142857142861</v>
      </c>
      <c r="H28" s="60">
        <v>55.462416213819154</v>
      </c>
      <c r="L28" t="s">
        <v>416</v>
      </c>
    </row>
    <row r="29" spans="1:12">
      <c r="A29" t="s">
        <v>339</v>
      </c>
      <c r="B29">
        <v>2</v>
      </c>
      <c r="C29">
        <v>5</v>
      </c>
      <c r="D29" t="s">
        <v>401</v>
      </c>
      <c r="E29" t="s">
        <v>401</v>
      </c>
      <c r="F29">
        <v>1</v>
      </c>
      <c r="G29" s="60">
        <v>52.5</v>
      </c>
      <c r="H29" s="60">
        <v>46.432991991299431</v>
      </c>
      <c r="L29" t="s">
        <v>402</v>
      </c>
    </row>
    <row r="30" spans="1:12">
      <c r="A30" t="s">
        <v>339</v>
      </c>
      <c r="B30">
        <v>2</v>
      </c>
      <c r="C30">
        <v>5</v>
      </c>
      <c r="D30" t="s">
        <v>401</v>
      </c>
      <c r="E30" t="s">
        <v>401</v>
      </c>
      <c r="F30">
        <v>2</v>
      </c>
      <c r="G30" s="60">
        <v>54.54545454545454</v>
      </c>
      <c r="H30" s="60">
        <v>47.607954285227066</v>
      </c>
      <c r="L30" t="s">
        <v>403</v>
      </c>
    </row>
    <row r="31" spans="1:12">
      <c r="A31" t="s">
        <v>339</v>
      </c>
      <c r="B31">
        <v>2</v>
      </c>
      <c r="C31">
        <v>5</v>
      </c>
      <c r="D31" t="s">
        <v>401</v>
      </c>
      <c r="E31" t="s">
        <v>401</v>
      </c>
      <c r="F31">
        <v>3</v>
      </c>
      <c r="G31" s="60">
        <v>50</v>
      </c>
      <c r="H31" s="60">
        <v>45.000000000000007</v>
      </c>
      <c r="L31" t="s">
        <v>442</v>
      </c>
    </row>
    <row r="32" spans="1:12">
      <c r="A32" t="s">
        <v>338</v>
      </c>
      <c r="B32">
        <v>1</v>
      </c>
      <c r="C32">
        <v>6</v>
      </c>
      <c r="D32" t="s">
        <v>405</v>
      </c>
      <c r="E32" t="s">
        <v>405</v>
      </c>
      <c r="F32">
        <v>1</v>
      </c>
      <c r="G32" s="60">
        <v>35</v>
      </c>
      <c r="H32" s="60">
        <v>36.271198438138953</v>
      </c>
      <c r="L32" t="s">
        <v>404</v>
      </c>
    </row>
    <row r="33" spans="1:12">
      <c r="A33" t="s">
        <v>338</v>
      </c>
      <c r="B33">
        <v>1</v>
      </c>
      <c r="C33">
        <v>6</v>
      </c>
      <c r="D33" t="s">
        <v>405</v>
      </c>
      <c r="E33" t="s">
        <v>405</v>
      </c>
      <c r="F33">
        <v>2</v>
      </c>
      <c r="G33" s="60">
        <v>31.666666666666661</v>
      </c>
      <c r="H33" s="60">
        <v>34.244905866556259</v>
      </c>
      <c r="L33" t="s">
        <v>406</v>
      </c>
    </row>
    <row r="34" spans="1:12">
      <c r="A34" t="s">
        <v>338</v>
      </c>
      <c r="B34">
        <v>1</v>
      </c>
      <c r="C34">
        <v>6</v>
      </c>
      <c r="D34" t="s">
        <v>405</v>
      </c>
      <c r="E34" t="s">
        <v>405</v>
      </c>
      <c r="F34">
        <v>3</v>
      </c>
      <c r="G34" s="60">
        <v>41.666666666666671</v>
      </c>
      <c r="H34" s="60">
        <v>40.202965886569778</v>
      </c>
      <c r="L34" t="s">
        <v>407</v>
      </c>
    </row>
    <row r="35" spans="1:12">
      <c r="A35" t="s">
        <v>339</v>
      </c>
      <c r="B35">
        <v>2</v>
      </c>
      <c r="C35">
        <v>6</v>
      </c>
      <c r="D35" t="s">
        <v>405</v>
      </c>
      <c r="E35" t="s">
        <v>405</v>
      </c>
      <c r="F35">
        <v>1</v>
      </c>
      <c r="G35" s="60">
        <v>50</v>
      </c>
      <c r="H35" s="60">
        <v>45.000000000000007</v>
      </c>
      <c r="L35" t="s">
        <v>383</v>
      </c>
    </row>
    <row r="36" spans="1:12">
      <c r="A36" t="s">
        <v>339</v>
      </c>
      <c r="B36">
        <v>2</v>
      </c>
      <c r="C36">
        <v>6</v>
      </c>
      <c r="D36" t="s">
        <v>405</v>
      </c>
      <c r="E36" t="s">
        <v>405</v>
      </c>
      <c r="F36">
        <v>2</v>
      </c>
      <c r="G36" s="60">
        <v>41.666666666666671</v>
      </c>
      <c r="H36" s="60">
        <v>40.202965886569778</v>
      </c>
      <c r="L36" t="s">
        <v>405</v>
      </c>
    </row>
    <row r="37" spans="1:12">
      <c r="A37" t="s">
        <v>339</v>
      </c>
      <c r="B37">
        <v>2</v>
      </c>
      <c r="C37">
        <v>6</v>
      </c>
      <c r="D37" t="s">
        <v>405</v>
      </c>
      <c r="E37" t="s">
        <v>405</v>
      </c>
      <c r="F37">
        <v>3</v>
      </c>
      <c r="G37" s="60">
        <v>50</v>
      </c>
      <c r="H37" s="60">
        <v>45.000000000000007</v>
      </c>
      <c r="L37" t="s">
        <v>408</v>
      </c>
    </row>
    <row r="38" spans="1:12">
      <c r="A38" t="s">
        <v>338</v>
      </c>
      <c r="B38">
        <v>1</v>
      </c>
      <c r="C38">
        <v>7</v>
      </c>
      <c r="D38" t="s">
        <v>410</v>
      </c>
      <c r="E38" t="s">
        <v>406</v>
      </c>
      <c r="F38">
        <v>1</v>
      </c>
      <c r="G38" s="60">
        <v>21.666666666666671</v>
      </c>
      <c r="H38" s="60">
        <v>27.740946079469374</v>
      </c>
      <c r="L38" t="s">
        <v>409</v>
      </c>
    </row>
    <row r="39" spans="1:12">
      <c r="A39" t="s">
        <v>338</v>
      </c>
      <c r="B39">
        <v>1</v>
      </c>
      <c r="C39">
        <v>7</v>
      </c>
      <c r="D39" t="s">
        <v>410</v>
      </c>
      <c r="E39" t="s">
        <v>406</v>
      </c>
      <c r="F39">
        <v>2</v>
      </c>
      <c r="G39" s="60">
        <v>37.5</v>
      </c>
      <c r="H39" s="60">
        <v>37.761243907035038</v>
      </c>
      <c r="L39" t="s">
        <v>387</v>
      </c>
    </row>
    <row r="40" spans="1:12">
      <c r="A40" t="s">
        <v>338</v>
      </c>
      <c r="B40">
        <v>1</v>
      </c>
      <c r="C40">
        <v>7</v>
      </c>
      <c r="D40" t="s">
        <v>410</v>
      </c>
      <c r="E40" t="s">
        <v>406</v>
      </c>
      <c r="F40">
        <v>3</v>
      </c>
      <c r="G40" s="60">
        <v>28.333333333333329</v>
      </c>
      <c r="H40" s="60">
        <v>32.160355690271565</v>
      </c>
      <c r="L40" t="s">
        <v>411</v>
      </c>
    </row>
    <row r="41" spans="1:12">
      <c r="A41" t="s">
        <v>339</v>
      </c>
      <c r="B41">
        <v>2</v>
      </c>
      <c r="C41">
        <v>7</v>
      </c>
      <c r="D41" t="s">
        <v>410</v>
      </c>
      <c r="E41" t="s">
        <v>406</v>
      </c>
      <c r="F41">
        <v>1</v>
      </c>
      <c r="G41" s="60">
        <v>47.916666666666671</v>
      </c>
      <c r="H41" s="60">
        <v>43.805992268365614</v>
      </c>
    </row>
    <row r="42" spans="1:12">
      <c r="A42" t="s">
        <v>339</v>
      </c>
      <c r="B42">
        <v>2</v>
      </c>
      <c r="C42">
        <v>7</v>
      </c>
      <c r="D42" t="s">
        <v>410</v>
      </c>
      <c r="E42" t="s">
        <v>406</v>
      </c>
      <c r="F42">
        <v>2</v>
      </c>
      <c r="G42" s="60">
        <v>41.666666666666671</v>
      </c>
      <c r="H42" s="60">
        <v>40.202965886569778</v>
      </c>
    </row>
    <row r="43" spans="1:12">
      <c r="A43" t="s">
        <v>339</v>
      </c>
      <c r="B43">
        <v>2</v>
      </c>
      <c r="C43">
        <v>7</v>
      </c>
      <c r="D43" t="s">
        <v>410</v>
      </c>
      <c r="E43" t="s">
        <v>406</v>
      </c>
      <c r="F43">
        <v>3</v>
      </c>
      <c r="G43" s="60">
        <v>50</v>
      </c>
      <c r="H43" s="60">
        <v>45.000000000000007</v>
      </c>
    </row>
    <row r="44" spans="1:12">
      <c r="A44" t="s">
        <v>338</v>
      </c>
      <c r="B44">
        <v>1</v>
      </c>
      <c r="C44">
        <v>8</v>
      </c>
      <c r="D44" t="s">
        <v>346</v>
      </c>
      <c r="E44" t="s">
        <v>412</v>
      </c>
      <c r="F44">
        <v>1</v>
      </c>
      <c r="G44" s="60">
        <v>56.666666666666657</v>
      </c>
      <c r="H44" s="60">
        <v>48.831127830383025</v>
      </c>
    </row>
    <row r="45" spans="1:12">
      <c r="A45" t="s">
        <v>338</v>
      </c>
      <c r="B45">
        <v>1</v>
      </c>
      <c r="C45">
        <v>8</v>
      </c>
      <c r="D45" t="s">
        <v>346</v>
      </c>
      <c r="E45" t="s">
        <v>412</v>
      </c>
      <c r="F45">
        <v>2</v>
      </c>
      <c r="G45" s="60">
        <v>48.333333333333343</v>
      </c>
      <c r="H45" s="60">
        <v>44.044893414145044</v>
      </c>
    </row>
    <row r="46" spans="1:12">
      <c r="A46" t="s">
        <v>338</v>
      </c>
      <c r="B46">
        <v>1</v>
      </c>
      <c r="C46">
        <v>8</v>
      </c>
      <c r="D46" t="s">
        <v>346</v>
      </c>
      <c r="E46" t="s">
        <v>412</v>
      </c>
      <c r="F46">
        <v>3</v>
      </c>
      <c r="G46" s="60">
        <v>48.333333333333343</v>
      </c>
      <c r="H46" s="60">
        <v>44.044893414145044</v>
      </c>
    </row>
    <row r="47" spans="1:12">
      <c r="A47" t="s">
        <v>339</v>
      </c>
      <c r="B47">
        <v>2</v>
      </c>
      <c r="C47">
        <v>8</v>
      </c>
      <c r="D47" t="s">
        <v>346</v>
      </c>
      <c r="E47" t="s">
        <v>412</v>
      </c>
      <c r="F47">
        <v>1</v>
      </c>
      <c r="G47" s="60">
        <v>70.833333333333343</v>
      </c>
      <c r="H47" s="60">
        <v>57.312159176082048</v>
      </c>
    </row>
    <row r="48" spans="1:12">
      <c r="A48" t="s">
        <v>339</v>
      </c>
      <c r="B48">
        <v>2</v>
      </c>
      <c r="C48">
        <v>8</v>
      </c>
      <c r="D48" t="s">
        <v>346</v>
      </c>
      <c r="E48" t="s">
        <v>412</v>
      </c>
      <c r="F48">
        <v>2</v>
      </c>
      <c r="G48" s="60">
        <v>60.416666666666657</v>
      </c>
      <c r="H48" s="60">
        <v>51.012349590282909</v>
      </c>
    </row>
    <row r="49" spans="1:8">
      <c r="A49" t="s">
        <v>339</v>
      </c>
      <c r="B49">
        <v>2</v>
      </c>
      <c r="C49">
        <v>8</v>
      </c>
      <c r="D49" t="s">
        <v>346</v>
      </c>
      <c r="E49" t="s">
        <v>412</v>
      </c>
      <c r="F49">
        <v>3</v>
      </c>
      <c r="G49" s="60">
        <v>72.916666666666657</v>
      </c>
      <c r="H49" s="60">
        <v>58.639806367989038</v>
      </c>
    </row>
    <row r="50" spans="1:8">
      <c r="A50" t="s">
        <v>338</v>
      </c>
      <c r="B50">
        <v>1</v>
      </c>
      <c r="C50">
        <v>9</v>
      </c>
      <c r="D50" t="s">
        <v>413</v>
      </c>
      <c r="E50" t="s">
        <v>414</v>
      </c>
      <c r="F50">
        <v>1</v>
      </c>
      <c r="G50" s="60">
        <v>61.666666666666671</v>
      </c>
      <c r="H50" s="60">
        <v>51.746699410775847</v>
      </c>
    </row>
    <row r="51" spans="1:8">
      <c r="A51" t="s">
        <v>338</v>
      </c>
      <c r="B51">
        <v>1</v>
      </c>
      <c r="C51">
        <v>9</v>
      </c>
      <c r="D51" t="s">
        <v>413</v>
      </c>
      <c r="E51" t="s">
        <v>414</v>
      </c>
      <c r="F51">
        <v>2</v>
      </c>
      <c r="G51" s="60">
        <v>61.666666666666671</v>
      </c>
      <c r="H51" s="60">
        <v>51.746699410775847</v>
      </c>
    </row>
    <row r="52" spans="1:8">
      <c r="A52" t="s">
        <v>338</v>
      </c>
      <c r="B52">
        <v>1</v>
      </c>
      <c r="C52">
        <v>9</v>
      </c>
      <c r="D52" t="s">
        <v>413</v>
      </c>
      <c r="E52" t="s">
        <v>414</v>
      </c>
      <c r="F52">
        <v>3</v>
      </c>
      <c r="G52" s="60">
        <v>58.333333333333343</v>
      </c>
      <c r="H52" s="60">
        <v>49.797034113430229</v>
      </c>
    </row>
    <row r="53" spans="1:8">
      <c r="A53" t="s">
        <v>339</v>
      </c>
      <c r="B53">
        <v>2</v>
      </c>
      <c r="C53">
        <v>9</v>
      </c>
      <c r="D53" t="s">
        <v>413</v>
      </c>
      <c r="E53" t="s">
        <v>414</v>
      </c>
      <c r="F53">
        <v>1</v>
      </c>
      <c r="G53" s="60">
        <v>65</v>
      </c>
      <c r="H53" s="60">
        <v>53.728801561861061</v>
      </c>
    </row>
    <row r="54" spans="1:8">
      <c r="A54" t="s">
        <v>339</v>
      </c>
      <c r="B54">
        <v>2</v>
      </c>
      <c r="C54">
        <v>9</v>
      </c>
      <c r="D54" t="s">
        <v>413</v>
      </c>
      <c r="E54" t="s">
        <v>414</v>
      </c>
      <c r="F54">
        <v>2</v>
      </c>
      <c r="G54" s="60">
        <v>75</v>
      </c>
      <c r="H54" s="60">
        <v>59.999999999999993</v>
      </c>
    </row>
    <row r="55" spans="1:8">
      <c r="A55" t="s">
        <v>339</v>
      </c>
      <c r="B55">
        <v>2</v>
      </c>
      <c r="C55">
        <v>9</v>
      </c>
      <c r="D55" t="s">
        <v>413</v>
      </c>
      <c r="E55" t="s">
        <v>414</v>
      </c>
      <c r="F55">
        <v>3</v>
      </c>
      <c r="G55" s="60">
        <v>75</v>
      </c>
      <c r="H55" s="60">
        <v>59.999999999999993</v>
      </c>
    </row>
    <row r="56" spans="1:8">
      <c r="A56" t="s">
        <v>338</v>
      </c>
      <c r="B56">
        <v>1</v>
      </c>
      <c r="C56">
        <v>10</v>
      </c>
      <c r="D56" t="s">
        <v>415</v>
      </c>
      <c r="E56" t="s">
        <v>416</v>
      </c>
      <c r="F56">
        <v>1</v>
      </c>
      <c r="G56" s="60">
        <v>61.666666666666671</v>
      </c>
      <c r="H56" s="60">
        <v>51.746699410775847</v>
      </c>
    </row>
    <row r="57" spans="1:8">
      <c r="A57" t="s">
        <v>338</v>
      </c>
      <c r="B57">
        <v>1</v>
      </c>
      <c r="C57">
        <v>10</v>
      </c>
      <c r="D57" t="s">
        <v>415</v>
      </c>
      <c r="E57" t="s">
        <v>416</v>
      </c>
      <c r="F57">
        <v>2</v>
      </c>
      <c r="G57" s="60">
        <v>58.333333333333343</v>
      </c>
      <c r="H57" s="60">
        <v>49.797034113430229</v>
      </c>
    </row>
    <row r="58" spans="1:8">
      <c r="A58" t="s">
        <v>338</v>
      </c>
      <c r="B58">
        <v>1</v>
      </c>
      <c r="C58">
        <v>10</v>
      </c>
      <c r="D58" t="s">
        <v>415</v>
      </c>
      <c r="E58" t="s">
        <v>416</v>
      </c>
      <c r="F58">
        <v>3</v>
      </c>
      <c r="G58" s="60">
        <v>55.357142857142861</v>
      </c>
      <c r="H58" s="60">
        <v>48.075319913970517</v>
      </c>
    </row>
    <row r="59" spans="1:8">
      <c r="A59" t="s">
        <v>339</v>
      </c>
      <c r="B59">
        <v>2</v>
      </c>
      <c r="C59">
        <v>10</v>
      </c>
      <c r="D59" t="s">
        <v>415</v>
      </c>
      <c r="E59" t="s">
        <v>416</v>
      </c>
      <c r="F59">
        <v>1</v>
      </c>
      <c r="G59" s="60">
        <v>75</v>
      </c>
      <c r="H59" s="60">
        <v>59.999999999999993</v>
      </c>
    </row>
    <row r="60" spans="1:8">
      <c r="A60" t="s">
        <v>339</v>
      </c>
      <c r="B60">
        <v>2</v>
      </c>
      <c r="C60">
        <v>10</v>
      </c>
      <c r="D60" t="s">
        <v>415</v>
      </c>
      <c r="E60" t="s">
        <v>416</v>
      </c>
      <c r="F60">
        <v>2</v>
      </c>
      <c r="G60" s="60">
        <v>77.083333333333343</v>
      </c>
      <c r="H60" s="60">
        <v>61.398584147911833</v>
      </c>
    </row>
    <row r="61" spans="1:8">
      <c r="A61" t="s">
        <v>339</v>
      </c>
      <c r="B61">
        <v>2</v>
      </c>
      <c r="C61">
        <v>10</v>
      </c>
      <c r="D61" t="s">
        <v>415</v>
      </c>
      <c r="E61" t="s">
        <v>416</v>
      </c>
      <c r="F61">
        <v>3</v>
      </c>
      <c r="G61" s="60">
        <v>81.25</v>
      </c>
      <c r="H61" s="60">
        <v>64.341093726744717</v>
      </c>
    </row>
    <row r="62" spans="1:8">
      <c r="A62" t="s">
        <v>338</v>
      </c>
      <c r="B62">
        <v>1</v>
      </c>
      <c r="C62">
        <v>11</v>
      </c>
      <c r="D62" t="s">
        <v>417</v>
      </c>
      <c r="E62" t="s">
        <v>418</v>
      </c>
      <c r="F62">
        <v>1</v>
      </c>
      <c r="G62" s="60">
        <v>66.666666666666657</v>
      </c>
      <c r="H62" s="60">
        <v>54.735610317245346</v>
      </c>
    </row>
    <row r="63" spans="1:8">
      <c r="A63" t="s">
        <v>338</v>
      </c>
      <c r="B63">
        <v>1</v>
      </c>
      <c r="C63">
        <v>11</v>
      </c>
      <c r="D63" t="s">
        <v>417</v>
      </c>
      <c r="E63" t="s">
        <v>418</v>
      </c>
      <c r="F63">
        <v>2</v>
      </c>
      <c r="G63" s="60">
        <v>66.666666666666657</v>
      </c>
      <c r="H63" s="60">
        <v>54.735610317245346</v>
      </c>
    </row>
    <row r="64" spans="1:8">
      <c r="A64" t="s">
        <v>338</v>
      </c>
      <c r="B64">
        <v>1</v>
      </c>
      <c r="C64">
        <v>11</v>
      </c>
      <c r="D64" t="s">
        <v>417</v>
      </c>
      <c r="E64" t="s">
        <v>418</v>
      </c>
      <c r="F64">
        <v>3</v>
      </c>
      <c r="G64" s="60">
        <v>66.666666666666657</v>
      </c>
      <c r="H64" s="60">
        <v>54.735610317245346</v>
      </c>
    </row>
    <row r="65" spans="1:8">
      <c r="A65" t="s">
        <v>339</v>
      </c>
      <c r="B65">
        <v>2</v>
      </c>
      <c r="C65">
        <v>11</v>
      </c>
      <c r="D65" t="s">
        <v>417</v>
      </c>
      <c r="E65" t="s">
        <v>418</v>
      </c>
      <c r="F65">
        <v>1</v>
      </c>
      <c r="G65" s="60">
        <v>75</v>
      </c>
      <c r="H65" s="60">
        <v>59.999999999999993</v>
      </c>
    </row>
    <row r="66" spans="1:8">
      <c r="A66" t="s">
        <v>339</v>
      </c>
      <c r="B66">
        <v>2</v>
      </c>
      <c r="C66">
        <v>11</v>
      </c>
      <c r="D66" t="s">
        <v>417</v>
      </c>
      <c r="E66" t="s">
        <v>418</v>
      </c>
      <c r="F66">
        <v>2</v>
      </c>
      <c r="G66" s="60">
        <v>72.727272727272734</v>
      </c>
      <c r="H66" s="60">
        <v>58.517845894706149</v>
      </c>
    </row>
    <row r="67" spans="1:8">
      <c r="A67" t="s">
        <v>339</v>
      </c>
      <c r="B67">
        <v>2</v>
      </c>
      <c r="C67">
        <v>11</v>
      </c>
      <c r="D67" t="s">
        <v>417</v>
      </c>
      <c r="E67" t="s">
        <v>418</v>
      </c>
      <c r="F67">
        <v>3</v>
      </c>
      <c r="G67" s="60">
        <v>77.272727272727266</v>
      </c>
      <c r="H67" s="60">
        <v>61.527865575427001</v>
      </c>
    </row>
    <row r="68" spans="1:8">
      <c r="A68" t="s">
        <v>338</v>
      </c>
      <c r="B68">
        <v>1</v>
      </c>
      <c r="C68">
        <v>12</v>
      </c>
      <c r="D68" t="s">
        <v>347</v>
      </c>
      <c r="E68" t="s">
        <v>411</v>
      </c>
      <c r="F68">
        <v>1</v>
      </c>
      <c r="G68" s="60">
        <v>30</v>
      </c>
      <c r="H68" s="60">
        <v>33.210910760899083</v>
      </c>
    </row>
    <row r="69" spans="1:8">
      <c r="A69" t="s">
        <v>338</v>
      </c>
      <c r="B69">
        <v>1</v>
      </c>
      <c r="C69">
        <v>12</v>
      </c>
      <c r="D69" t="s">
        <v>347</v>
      </c>
      <c r="E69" t="s">
        <v>411</v>
      </c>
      <c r="F69">
        <v>2</v>
      </c>
      <c r="G69" s="60">
        <v>31.666666666666661</v>
      </c>
      <c r="H69" s="60">
        <v>34.244905866556259</v>
      </c>
    </row>
    <row r="70" spans="1:8">
      <c r="A70" t="s">
        <v>338</v>
      </c>
      <c r="B70">
        <v>1</v>
      </c>
      <c r="C70">
        <v>12</v>
      </c>
      <c r="D70" t="s">
        <v>347</v>
      </c>
      <c r="E70" t="s">
        <v>411</v>
      </c>
      <c r="F70">
        <v>3</v>
      </c>
      <c r="G70" s="60">
        <v>33.333333333333329</v>
      </c>
      <c r="H70" s="60">
        <v>35.264389682754654</v>
      </c>
    </row>
    <row r="71" spans="1:8">
      <c r="A71" t="s">
        <v>339</v>
      </c>
      <c r="B71">
        <v>2</v>
      </c>
      <c r="C71">
        <v>12</v>
      </c>
      <c r="D71" t="s">
        <v>347</v>
      </c>
      <c r="E71" t="s">
        <v>411</v>
      </c>
      <c r="F71">
        <v>1</v>
      </c>
      <c r="G71" s="60">
        <v>2.7777777777777781</v>
      </c>
      <c r="H71" s="60">
        <v>9.5940682268604629</v>
      </c>
    </row>
    <row r="72" spans="1:8">
      <c r="A72" t="s">
        <v>339</v>
      </c>
      <c r="B72">
        <v>2</v>
      </c>
      <c r="C72">
        <v>12</v>
      </c>
      <c r="D72" t="s">
        <v>347</v>
      </c>
      <c r="E72" t="s">
        <v>411</v>
      </c>
      <c r="F72">
        <v>2</v>
      </c>
      <c r="G72" s="60">
        <v>10</v>
      </c>
      <c r="H72" s="60">
        <v>18.434948822922014</v>
      </c>
    </row>
    <row r="73" spans="1:8">
      <c r="A73" t="s">
        <v>339</v>
      </c>
      <c r="B73">
        <v>2</v>
      </c>
      <c r="C73">
        <v>12</v>
      </c>
      <c r="D73" t="s">
        <v>347</v>
      </c>
      <c r="E73" t="s">
        <v>411</v>
      </c>
      <c r="F73">
        <v>3</v>
      </c>
      <c r="G73" s="60">
        <v>6.25</v>
      </c>
      <c r="H73" s="60">
        <v>14.477512185929923</v>
      </c>
    </row>
    <row r="74" spans="1:8">
      <c r="A74" t="s">
        <v>338</v>
      </c>
      <c r="B74">
        <v>1</v>
      </c>
      <c r="C74">
        <v>13</v>
      </c>
      <c r="D74" t="s">
        <v>419</v>
      </c>
      <c r="E74" t="s">
        <v>388</v>
      </c>
      <c r="F74">
        <v>1</v>
      </c>
      <c r="G74" s="60">
        <v>58.333333333333343</v>
      </c>
      <c r="H74" s="60">
        <v>49.797034113430229</v>
      </c>
    </row>
    <row r="75" spans="1:8">
      <c r="A75" t="s">
        <v>338</v>
      </c>
      <c r="B75">
        <v>1</v>
      </c>
      <c r="C75">
        <v>13</v>
      </c>
      <c r="D75" t="s">
        <v>419</v>
      </c>
      <c r="E75" t="s">
        <v>388</v>
      </c>
      <c r="F75">
        <v>2</v>
      </c>
      <c r="G75" s="60">
        <v>65</v>
      </c>
      <c r="H75" s="60">
        <v>53.728801561861061</v>
      </c>
    </row>
    <row r="76" spans="1:8">
      <c r="A76" t="s">
        <v>338</v>
      </c>
      <c r="B76">
        <v>1</v>
      </c>
      <c r="C76">
        <v>13</v>
      </c>
      <c r="D76" t="s">
        <v>419</v>
      </c>
      <c r="E76" t="s">
        <v>388</v>
      </c>
      <c r="F76">
        <v>3</v>
      </c>
      <c r="G76" s="60">
        <v>53.333333333333343</v>
      </c>
      <c r="H76" s="60">
        <v>46.91127686463718</v>
      </c>
    </row>
    <row r="77" spans="1:8">
      <c r="A77" t="s">
        <v>339</v>
      </c>
      <c r="B77">
        <v>2</v>
      </c>
      <c r="C77">
        <v>13</v>
      </c>
      <c r="D77" t="s">
        <v>419</v>
      </c>
      <c r="E77" t="s">
        <v>388</v>
      </c>
      <c r="F77">
        <v>1</v>
      </c>
      <c r="G77" s="60">
        <v>50</v>
      </c>
      <c r="H77" s="60">
        <v>45.000000000000007</v>
      </c>
    </row>
    <row r="78" spans="1:8">
      <c r="A78" t="s">
        <v>339</v>
      </c>
      <c r="B78">
        <v>2</v>
      </c>
      <c r="C78">
        <v>13</v>
      </c>
      <c r="D78" t="s">
        <v>419</v>
      </c>
      <c r="E78" t="s">
        <v>388</v>
      </c>
      <c r="F78">
        <v>2</v>
      </c>
      <c r="G78" s="60">
        <v>56.25</v>
      </c>
      <c r="H78" s="60">
        <v>48.590377890729144</v>
      </c>
    </row>
    <row r="79" spans="1:8">
      <c r="A79" t="s">
        <v>339</v>
      </c>
      <c r="B79">
        <v>2</v>
      </c>
      <c r="C79">
        <v>13</v>
      </c>
      <c r="D79" t="s">
        <v>419</v>
      </c>
      <c r="E79" t="s">
        <v>388</v>
      </c>
      <c r="F79">
        <v>3</v>
      </c>
      <c r="G79" s="60">
        <v>47.5</v>
      </c>
      <c r="H79" s="60">
        <v>43.567008008700569</v>
      </c>
    </row>
    <row r="80" spans="1:8">
      <c r="A80" t="s">
        <v>338</v>
      </c>
      <c r="B80">
        <v>1</v>
      </c>
      <c r="C80">
        <v>14</v>
      </c>
      <c r="D80" t="s">
        <v>420</v>
      </c>
      <c r="E80" t="s">
        <v>385</v>
      </c>
      <c r="F80">
        <v>1</v>
      </c>
      <c r="G80" s="60">
        <v>58.333333333333343</v>
      </c>
      <c r="H80" s="60">
        <v>49.797034113430229</v>
      </c>
    </row>
    <row r="81" spans="1:8">
      <c r="A81" t="s">
        <v>338</v>
      </c>
      <c r="B81">
        <v>1</v>
      </c>
      <c r="C81">
        <v>14</v>
      </c>
      <c r="D81" t="s">
        <v>420</v>
      </c>
      <c r="E81" t="s">
        <v>385</v>
      </c>
      <c r="F81">
        <v>2</v>
      </c>
      <c r="G81" s="60">
        <v>51.666666666666671</v>
      </c>
      <c r="H81" s="60">
        <v>45.955106585854971</v>
      </c>
    </row>
    <row r="82" spans="1:8">
      <c r="A82" t="s">
        <v>338</v>
      </c>
      <c r="B82">
        <v>1</v>
      </c>
      <c r="C82">
        <v>14</v>
      </c>
      <c r="D82" t="s">
        <v>420</v>
      </c>
      <c r="E82" t="s">
        <v>385</v>
      </c>
      <c r="F82">
        <v>3</v>
      </c>
      <c r="G82" s="60">
        <v>58.333333333333343</v>
      </c>
      <c r="H82" s="60">
        <v>49.797034113430229</v>
      </c>
    </row>
    <row r="83" spans="1:8">
      <c r="A83" t="s">
        <v>339</v>
      </c>
      <c r="B83">
        <v>2</v>
      </c>
      <c r="C83">
        <v>14</v>
      </c>
      <c r="D83" t="s">
        <v>420</v>
      </c>
      <c r="E83" t="s">
        <v>385</v>
      </c>
      <c r="F83">
        <v>1</v>
      </c>
      <c r="G83" s="60">
        <v>61.363636363636367</v>
      </c>
      <c r="H83" s="60">
        <v>51.56827939347243</v>
      </c>
    </row>
    <row r="84" spans="1:8">
      <c r="A84" t="s">
        <v>339</v>
      </c>
      <c r="B84">
        <v>2</v>
      </c>
      <c r="C84">
        <v>14</v>
      </c>
      <c r="D84" t="s">
        <v>420</v>
      </c>
      <c r="E84" t="s">
        <v>385</v>
      </c>
      <c r="F84">
        <v>2</v>
      </c>
      <c r="G84" s="60">
        <v>63.636363636363633</v>
      </c>
      <c r="H84" s="60">
        <v>52.913310065936173</v>
      </c>
    </row>
    <row r="85" spans="1:8">
      <c r="A85" t="s">
        <v>339</v>
      </c>
      <c r="B85">
        <v>2</v>
      </c>
      <c r="C85">
        <v>14</v>
      </c>
      <c r="D85" t="s">
        <v>420</v>
      </c>
      <c r="E85" t="s">
        <v>385</v>
      </c>
      <c r="F85">
        <v>3</v>
      </c>
      <c r="G85" s="60">
        <v>70.833333333333343</v>
      </c>
      <c r="H85" s="60">
        <v>57.312159176082048</v>
      </c>
    </row>
    <row r="86" spans="1:8">
      <c r="A86" t="s">
        <v>338</v>
      </c>
      <c r="B86">
        <v>1</v>
      </c>
      <c r="C86">
        <v>15</v>
      </c>
      <c r="D86" t="s">
        <v>421</v>
      </c>
      <c r="E86" t="s">
        <v>422</v>
      </c>
      <c r="F86">
        <v>1</v>
      </c>
      <c r="G86" s="60">
        <v>55.000000000000007</v>
      </c>
      <c r="H86" s="60">
        <v>47.869585238633384</v>
      </c>
    </row>
    <row r="87" spans="1:8">
      <c r="A87" t="s">
        <v>338</v>
      </c>
      <c r="B87">
        <v>1</v>
      </c>
      <c r="C87">
        <v>15</v>
      </c>
      <c r="D87" t="s">
        <v>421</v>
      </c>
      <c r="E87" t="s">
        <v>422</v>
      </c>
      <c r="F87">
        <v>2</v>
      </c>
      <c r="G87" s="60">
        <v>70</v>
      </c>
      <c r="H87" s="60">
        <v>56.789089239100917</v>
      </c>
    </row>
    <row r="88" spans="1:8">
      <c r="A88" t="s">
        <v>338</v>
      </c>
      <c r="B88">
        <v>1</v>
      </c>
      <c r="C88">
        <v>15</v>
      </c>
      <c r="D88" t="s">
        <v>421</v>
      </c>
      <c r="E88" t="s">
        <v>422</v>
      </c>
      <c r="F88">
        <v>3</v>
      </c>
      <c r="G88" s="60">
        <v>70</v>
      </c>
      <c r="H88" s="60">
        <v>56.789089239100917</v>
      </c>
    </row>
    <row r="89" spans="1:8">
      <c r="A89" t="s">
        <v>339</v>
      </c>
      <c r="B89">
        <v>2</v>
      </c>
      <c r="C89">
        <v>15</v>
      </c>
      <c r="D89" t="s">
        <v>421</v>
      </c>
      <c r="E89" t="s">
        <v>422</v>
      </c>
      <c r="F89">
        <v>1</v>
      </c>
      <c r="G89" s="60">
        <v>52.5</v>
      </c>
      <c r="H89" s="60">
        <v>46.432991991299431</v>
      </c>
    </row>
    <row r="90" spans="1:8">
      <c r="A90" t="s">
        <v>339</v>
      </c>
      <c r="B90">
        <v>2</v>
      </c>
      <c r="C90">
        <v>15</v>
      </c>
      <c r="D90" t="s">
        <v>421</v>
      </c>
      <c r="E90" t="s">
        <v>422</v>
      </c>
      <c r="F90">
        <v>2</v>
      </c>
      <c r="G90" s="60">
        <v>45.833333333333329</v>
      </c>
      <c r="H90" s="60">
        <v>42.609904076400426</v>
      </c>
    </row>
    <row r="91" spans="1:8">
      <c r="A91" t="s">
        <v>339</v>
      </c>
      <c r="B91">
        <v>2</v>
      </c>
      <c r="C91">
        <v>15</v>
      </c>
      <c r="D91" t="s">
        <v>421</v>
      </c>
      <c r="E91" t="s">
        <v>422</v>
      </c>
      <c r="F91">
        <v>3</v>
      </c>
      <c r="G91" s="60">
        <v>50</v>
      </c>
      <c r="H91" s="60">
        <v>45.000000000000007</v>
      </c>
    </row>
    <row r="92" spans="1:8">
      <c r="A92" t="s">
        <v>338</v>
      </c>
      <c r="B92">
        <v>1</v>
      </c>
      <c r="C92">
        <v>16</v>
      </c>
      <c r="D92" t="s">
        <v>336</v>
      </c>
      <c r="E92" t="s">
        <v>336</v>
      </c>
      <c r="F92">
        <v>1</v>
      </c>
      <c r="G92" s="60">
        <v>0</v>
      </c>
      <c r="H92" s="60">
        <v>0</v>
      </c>
    </row>
    <row r="93" spans="1:8">
      <c r="A93" t="s">
        <v>338</v>
      </c>
      <c r="B93">
        <v>1</v>
      </c>
      <c r="C93">
        <v>16</v>
      </c>
      <c r="D93" t="s">
        <v>336</v>
      </c>
      <c r="E93" t="s">
        <v>336</v>
      </c>
      <c r="F93">
        <v>2</v>
      </c>
      <c r="G93" s="60">
        <v>0</v>
      </c>
      <c r="H93" s="60">
        <v>0</v>
      </c>
    </row>
    <row r="94" spans="1:8">
      <c r="A94" t="s">
        <v>338</v>
      </c>
      <c r="B94">
        <v>1</v>
      </c>
      <c r="C94">
        <v>16</v>
      </c>
      <c r="D94" t="s">
        <v>336</v>
      </c>
      <c r="E94" t="s">
        <v>336</v>
      </c>
      <c r="F94">
        <v>3</v>
      </c>
      <c r="G94" s="60">
        <v>0</v>
      </c>
      <c r="H94" s="60">
        <v>0</v>
      </c>
    </row>
    <row r="95" spans="1:8">
      <c r="A95" t="s">
        <v>339</v>
      </c>
      <c r="B95">
        <v>2</v>
      </c>
      <c r="C95">
        <v>16</v>
      </c>
      <c r="D95" t="s">
        <v>336</v>
      </c>
      <c r="E95" t="s">
        <v>336</v>
      </c>
      <c r="F95">
        <v>1</v>
      </c>
      <c r="G95" s="60">
        <v>0</v>
      </c>
      <c r="H95" s="60">
        <v>0</v>
      </c>
    </row>
    <row r="96" spans="1:8">
      <c r="A96" t="s">
        <v>339</v>
      </c>
      <c r="B96">
        <v>2</v>
      </c>
      <c r="C96">
        <v>16</v>
      </c>
      <c r="D96" t="s">
        <v>336</v>
      </c>
      <c r="E96" t="s">
        <v>336</v>
      </c>
      <c r="F96">
        <v>2</v>
      </c>
      <c r="G96" s="60">
        <v>0</v>
      </c>
      <c r="H96" s="60">
        <v>0</v>
      </c>
    </row>
    <row r="97" spans="1:8">
      <c r="A97" t="s">
        <v>339</v>
      </c>
      <c r="B97">
        <v>2</v>
      </c>
      <c r="C97">
        <v>16</v>
      </c>
      <c r="D97" t="s">
        <v>336</v>
      </c>
      <c r="E97" t="s">
        <v>336</v>
      </c>
      <c r="F97">
        <v>3</v>
      </c>
      <c r="G97" s="60">
        <v>0</v>
      </c>
      <c r="H97" s="60">
        <v>0</v>
      </c>
    </row>
    <row r="98" spans="1:8">
      <c r="A98" t="s">
        <v>338</v>
      </c>
      <c r="B98">
        <v>1</v>
      </c>
      <c r="C98">
        <v>17</v>
      </c>
      <c r="D98" t="s">
        <v>348</v>
      </c>
      <c r="E98" t="s">
        <v>408</v>
      </c>
      <c r="F98">
        <v>1</v>
      </c>
      <c r="G98" s="60">
        <v>39.285714285714278</v>
      </c>
      <c r="H98" s="60">
        <v>38.813187441905718</v>
      </c>
    </row>
    <row r="99" spans="1:8">
      <c r="A99" t="s">
        <v>338</v>
      </c>
      <c r="B99">
        <v>1</v>
      </c>
      <c r="C99">
        <v>17</v>
      </c>
      <c r="D99" t="s">
        <v>348</v>
      </c>
      <c r="E99" t="s">
        <v>408</v>
      </c>
      <c r="F99">
        <v>2</v>
      </c>
      <c r="G99" s="60">
        <v>46.666666666666657</v>
      </c>
      <c r="H99" s="60">
        <v>43.08872313536282</v>
      </c>
    </row>
    <row r="100" spans="1:8">
      <c r="A100" t="s">
        <v>338</v>
      </c>
      <c r="B100">
        <v>1</v>
      </c>
      <c r="C100">
        <v>17</v>
      </c>
      <c r="D100" t="s">
        <v>348</v>
      </c>
      <c r="E100" t="s">
        <v>408</v>
      </c>
      <c r="F100">
        <v>3</v>
      </c>
      <c r="G100" s="60">
        <v>33.333333333333329</v>
      </c>
      <c r="H100" s="60">
        <v>35.264389682754654</v>
      </c>
    </row>
    <row r="101" spans="1:8">
      <c r="A101" t="s">
        <v>339</v>
      </c>
      <c r="B101">
        <v>2</v>
      </c>
      <c r="C101">
        <v>17</v>
      </c>
      <c r="D101" t="s">
        <v>348</v>
      </c>
      <c r="E101" t="s">
        <v>408</v>
      </c>
      <c r="F101">
        <v>1</v>
      </c>
      <c r="G101" s="60">
        <v>50</v>
      </c>
      <c r="H101" s="60">
        <v>45.000000000000007</v>
      </c>
    </row>
    <row r="102" spans="1:8">
      <c r="A102" t="s">
        <v>339</v>
      </c>
      <c r="B102">
        <v>2</v>
      </c>
      <c r="C102">
        <v>17</v>
      </c>
      <c r="D102" t="s">
        <v>348</v>
      </c>
      <c r="E102" t="s">
        <v>408</v>
      </c>
      <c r="F102">
        <v>2</v>
      </c>
      <c r="G102" s="60">
        <v>43.18181818181818</v>
      </c>
      <c r="H102" s="60">
        <v>41.081260118457855</v>
      </c>
    </row>
    <row r="103" spans="1:8">
      <c r="A103" t="s">
        <v>339</v>
      </c>
      <c r="B103">
        <v>2</v>
      </c>
      <c r="C103">
        <v>17</v>
      </c>
      <c r="D103" t="s">
        <v>348</v>
      </c>
      <c r="E103" t="s">
        <v>408</v>
      </c>
      <c r="F103">
        <v>3</v>
      </c>
      <c r="G103" s="60">
        <v>47.916666666666671</v>
      </c>
      <c r="H103" s="60">
        <v>43.805992268365614</v>
      </c>
    </row>
    <row r="104" spans="1:8">
      <c r="A104" t="s">
        <v>338</v>
      </c>
      <c r="B104">
        <v>1</v>
      </c>
      <c r="C104">
        <v>18</v>
      </c>
      <c r="D104" t="s">
        <v>423</v>
      </c>
      <c r="E104" t="s">
        <v>386</v>
      </c>
      <c r="F104">
        <v>1</v>
      </c>
      <c r="G104" s="60">
        <v>68.333333333333329</v>
      </c>
      <c r="H104" s="60">
        <v>55.755094133443734</v>
      </c>
    </row>
    <row r="105" spans="1:8">
      <c r="A105" t="s">
        <v>338</v>
      </c>
      <c r="B105">
        <v>1</v>
      </c>
      <c r="C105">
        <v>18</v>
      </c>
      <c r="D105" t="s">
        <v>423</v>
      </c>
      <c r="E105" t="s">
        <v>386</v>
      </c>
      <c r="F105">
        <v>2</v>
      </c>
      <c r="G105" s="60">
        <v>53.333333333333343</v>
      </c>
      <c r="H105" s="60">
        <v>46.91127686463718</v>
      </c>
    </row>
    <row r="106" spans="1:8">
      <c r="A106" t="s">
        <v>338</v>
      </c>
      <c r="B106">
        <v>1</v>
      </c>
      <c r="C106">
        <v>18</v>
      </c>
      <c r="D106" t="s">
        <v>423</v>
      </c>
      <c r="E106" t="s">
        <v>386</v>
      </c>
      <c r="F106">
        <v>3</v>
      </c>
      <c r="G106" s="60">
        <v>58.333333333333343</v>
      </c>
      <c r="H106" s="60">
        <v>49.797034113430229</v>
      </c>
    </row>
    <row r="107" spans="1:8">
      <c r="A107" t="s">
        <v>339</v>
      </c>
      <c r="B107">
        <v>2</v>
      </c>
      <c r="C107">
        <v>18</v>
      </c>
      <c r="D107" t="s">
        <v>423</v>
      </c>
      <c r="E107" t="s">
        <v>386</v>
      </c>
      <c r="F107">
        <v>1</v>
      </c>
      <c r="G107" s="60">
        <v>59.090909090909093</v>
      </c>
      <c r="H107" s="60">
        <v>50.237840848194956</v>
      </c>
    </row>
    <row r="108" spans="1:8">
      <c r="A108" t="s">
        <v>339</v>
      </c>
      <c r="B108">
        <v>2</v>
      </c>
      <c r="C108">
        <v>18</v>
      </c>
      <c r="D108" t="s">
        <v>423</v>
      </c>
      <c r="E108" t="s">
        <v>386</v>
      </c>
      <c r="F108">
        <v>2</v>
      </c>
      <c r="G108" s="60">
        <v>54.166666666666657</v>
      </c>
      <c r="H108" s="60">
        <v>47.390095923599567</v>
      </c>
    </row>
    <row r="109" spans="1:8">
      <c r="A109" t="s">
        <v>339</v>
      </c>
      <c r="B109">
        <v>2</v>
      </c>
      <c r="C109">
        <v>18</v>
      </c>
      <c r="D109" t="s">
        <v>423</v>
      </c>
      <c r="E109" t="s">
        <v>386</v>
      </c>
      <c r="F109">
        <v>3</v>
      </c>
      <c r="G109" s="60">
        <v>52.272727272727273</v>
      </c>
      <c r="H109" s="60">
        <v>46.302625632528645</v>
      </c>
    </row>
    <row r="110" spans="1:8">
      <c r="A110" t="s">
        <v>338</v>
      </c>
      <c r="B110">
        <v>1</v>
      </c>
      <c r="C110">
        <v>19</v>
      </c>
      <c r="D110" t="s">
        <v>424</v>
      </c>
      <c r="E110" t="s">
        <v>395</v>
      </c>
      <c r="F110">
        <v>1</v>
      </c>
      <c r="G110" s="60">
        <v>63.333333333333329</v>
      </c>
      <c r="H110" s="60">
        <v>52.733004976710276</v>
      </c>
    </row>
    <row r="111" spans="1:8">
      <c r="A111" t="s">
        <v>338</v>
      </c>
      <c r="B111">
        <v>1</v>
      </c>
      <c r="C111">
        <v>19</v>
      </c>
      <c r="D111" t="s">
        <v>424</v>
      </c>
      <c r="E111" t="s">
        <v>395</v>
      </c>
      <c r="F111">
        <v>2</v>
      </c>
      <c r="G111" s="60">
        <v>63.333333333333329</v>
      </c>
      <c r="H111" s="60">
        <v>52.733004976710276</v>
      </c>
    </row>
    <row r="112" spans="1:8">
      <c r="A112" t="s">
        <v>338</v>
      </c>
      <c r="B112">
        <v>1</v>
      </c>
      <c r="C112">
        <v>19</v>
      </c>
      <c r="D112" t="s">
        <v>424</v>
      </c>
      <c r="E112" t="s">
        <v>395</v>
      </c>
      <c r="F112">
        <v>3</v>
      </c>
      <c r="G112" s="60">
        <v>57.142857142857139</v>
      </c>
      <c r="H112" s="60">
        <v>49.106605350869096</v>
      </c>
    </row>
    <row r="113" spans="1:8">
      <c r="A113" t="s">
        <v>339</v>
      </c>
      <c r="B113">
        <v>2</v>
      </c>
      <c r="C113">
        <v>19</v>
      </c>
      <c r="D113" t="s">
        <v>424</v>
      </c>
      <c r="E113" t="s">
        <v>395</v>
      </c>
      <c r="F113">
        <v>1</v>
      </c>
      <c r="G113" s="60">
        <v>68.75</v>
      </c>
      <c r="H113" s="60">
        <v>56.01215641852108</v>
      </c>
    </row>
    <row r="114" spans="1:8">
      <c r="A114" t="s">
        <v>339</v>
      </c>
      <c r="B114">
        <v>2</v>
      </c>
      <c r="C114">
        <v>19</v>
      </c>
      <c r="D114" t="s">
        <v>424</v>
      </c>
      <c r="E114" t="s">
        <v>395</v>
      </c>
      <c r="F114">
        <v>2</v>
      </c>
      <c r="G114" s="60">
        <v>68.75</v>
      </c>
      <c r="H114" s="60">
        <v>56.01215641852108</v>
      </c>
    </row>
    <row r="115" spans="1:8">
      <c r="A115" t="s">
        <v>339</v>
      </c>
      <c r="B115">
        <v>2</v>
      </c>
      <c r="C115">
        <v>19</v>
      </c>
      <c r="D115" t="s">
        <v>424</v>
      </c>
      <c r="E115" t="s">
        <v>395</v>
      </c>
      <c r="F115">
        <v>3</v>
      </c>
      <c r="G115" s="60">
        <v>66.666666666666657</v>
      </c>
      <c r="H115" s="60">
        <v>54.735610317245346</v>
      </c>
    </row>
    <row r="116" spans="1:8">
      <c r="A116" t="s">
        <v>338</v>
      </c>
      <c r="B116">
        <v>1</v>
      </c>
      <c r="C116">
        <v>20</v>
      </c>
      <c r="D116" t="s">
        <v>425</v>
      </c>
      <c r="E116" t="s">
        <v>426</v>
      </c>
      <c r="F116">
        <v>1</v>
      </c>
      <c r="G116" s="60">
        <v>60.714285714285708</v>
      </c>
      <c r="H116" s="60">
        <v>51.186812558094275</v>
      </c>
    </row>
    <row r="117" spans="1:8">
      <c r="A117" t="s">
        <v>338</v>
      </c>
      <c r="B117">
        <v>1</v>
      </c>
      <c r="C117">
        <v>20</v>
      </c>
      <c r="D117" t="s">
        <v>425</v>
      </c>
      <c r="E117" t="s">
        <v>426</v>
      </c>
      <c r="F117">
        <v>2</v>
      </c>
      <c r="G117" s="60">
        <v>63.333333333333329</v>
      </c>
      <c r="H117" s="60">
        <v>52.733004976710276</v>
      </c>
    </row>
    <row r="118" spans="1:8">
      <c r="A118" t="s">
        <v>338</v>
      </c>
      <c r="B118">
        <v>1</v>
      </c>
      <c r="C118">
        <v>20</v>
      </c>
      <c r="D118" t="s">
        <v>425</v>
      </c>
      <c r="E118" t="s">
        <v>426</v>
      </c>
      <c r="F118">
        <v>3</v>
      </c>
      <c r="G118" s="60">
        <v>76.666666666666671</v>
      </c>
      <c r="H118" s="60">
        <v>61.115476317751053</v>
      </c>
    </row>
    <row r="119" spans="1:8">
      <c r="A119" t="s">
        <v>339</v>
      </c>
      <c r="B119">
        <v>2</v>
      </c>
      <c r="C119">
        <v>20</v>
      </c>
      <c r="D119" t="s">
        <v>425</v>
      </c>
      <c r="E119" t="s">
        <v>426</v>
      </c>
      <c r="F119">
        <v>1</v>
      </c>
      <c r="G119" s="60">
        <v>52.083333333333343</v>
      </c>
      <c r="H119" s="60">
        <v>46.1940077316344</v>
      </c>
    </row>
    <row r="120" spans="1:8">
      <c r="A120" t="s">
        <v>339</v>
      </c>
      <c r="B120">
        <v>2</v>
      </c>
      <c r="C120">
        <v>20</v>
      </c>
      <c r="D120" t="s">
        <v>425</v>
      </c>
      <c r="E120" t="s">
        <v>426</v>
      </c>
      <c r="F120">
        <v>2</v>
      </c>
      <c r="G120" s="60">
        <v>54.166666666666657</v>
      </c>
      <c r="H120" s="60">
        <v>47.390095923599567</v>
      </c>
    </row>
    <row r="121" spans="1:8">
      <c r="A121" t="s">
        <v>339</v>
      </c>
      <c r="B121">
        <v>2</v>
      </c>
      <c r="C121">
        <v>20</v>
      </c>
      <c r="D121" t="s">
        <v>425</v>
      </c>
      <c r="E121" t="s">
        <v>426</v>
      </c>
      <c r="F121">
        <v>3</v>
      </c>
      <c r="G121" s="60">
        <v>50</v>
      </c>
      <c r="H121" s="60">
        <v>45.000000000000007</v>
      </c>
    </row>
    <row r="122" spans="1:8">
      <c r="A122" t="s">
        <v>338</v>
      </c>
      <c r="B122">
        <v>1</v>
      </c>
      <c r="C122">
        <v>21</v>
      </c>
      <c r="D122" t="s">
        <v>321</v>
      </c>
      <c r="E122" t="s">
        <v>389</v>
      </c>
      <c r="F122">
        <v>1</v>
      </c>
      <c r="G122" s="60">
        <v>45</v>
      </c>
      <c r="H122" s="60">
        <v>42.130414761366609</v>
      </c>
    </row>
    <row r="123" spans="1:8">
      <c r="A123" t="s">
        <v>338</v>
      </c>
      <c r="B123">
        <v>1</v>
      </c>
      <c r="C123">
        <v>21</v>
      </c>
      <c r="D123" t="s">
        <v>321</v>
      </c>
      <c r="E123" t="s">
        <v>389</v>
      </c>
      <c r="F123">
        <v>2</v>
      </c>
      <c r="G123" s="60">
        <v>36.666666666666657</v>
      </c>
      <c r="H123" s="60">
        <v>37.266995023289724</v>
      </c>
    </row>
    <row r="124" spans="1:8">
      <c r="A124" t="s">
        <v>338</v>
      </c>
      <c r="B124">
        <v>1</v>
      </c>
      <c r="C124">
        <v>21</v>
      </c>
      <c r="D124" t="s">
        <v>321</v>
      </c>
      <c r="E124" t="s">
        <v>389</v>
      </c>
      <c r="F124">
        <v>3</v>
      </c>
      <c r="G124" s="60">
        <v>45</v>
      </c>
      <c r="H124" s="60">
        <v>42.130414761366609</v>
      </c>
    </row>
    <row r="125" spans="1:8">
      <c r="A125" t="s">
        <v>339</v>
      </c>
      <c r="B125">
        <v>2</v>
      </c>
      <c r="C125">
        <v>21</v>
      </c>
      <c r="D125" t="s">
        <v>321</v>
      </c>
      <c r="E125" t="s">
        <v>389</v>
      </c>
      <c r="F125">
        <v>1</v>
      </c>
      <c r="G125" s="60">
        <v>62.5</v>
      </c>
      <c r="H125" s="60">
        <v>52.238756092964962</v>
      </c>
    </row>
    <row r="126" spans="1:8">
      <c r="A126" t="s">
        <v>339</v>
      </c>
      <c r="B126">
        <v>2</v>
      </c>
      <c r="C126">
        <v>21</v>
      </c>
      <c r="D126" t="s">
        <v>321</v>
      </c>
      <c r="E126" t="s">
        <v>389</v>
      </c>
      <c r="F126">
        <v>2</v>
      </c>
      <c r="G126" s="60">
        <v>58.333333333333343</v>
      </c>
      <c r="H126" s="60">
        <v>49.797034113430229</v>
      </c>
    </row>
    <row r="127" spans="1:8">
      <c r="A127" t="s">
        <v>339</v>
      </c>
      <c r="B127">
        <v>2</v>
      </c>
      <c r="C127">
        <v>21</v>
      </c>
      <c r="D127" t="s">
        <v>321</v>
      </c>
      <c r="E127" t="s">
        <v>389</v>
      </c>
      <c r="F127">
        <v>3</v>
      </c>
      <c r="G127" s="60">
        <v>70.833333333333343</v>
      </c>
      <c r="H127" s="60">
        <v>57.312159176082048</v>
      </c>
    </row>
    <row r="128" spans="1:8">
      <c r="A128" t="s">
        <v>338</v>
      </c>
      <c r="B128">
        <v>1</v>
      </c>
      <c r="C128">
        <v>22</v>
      </c>
      <c r="D128" t="s">
        <v>427</v>
      </c>
      <c r="E128" t="s">
        <v>397</v>
      </c>
      <c r="F128">
        <v>1</v>
      </c>
      <c r="G128" s="60">
        <v>65</v>
      </c>
      <c r="H128" s="60">
        <v>53.728801561861061</v>
      </c>
    </row>
    <row r="129" spans="1:8">
      <c r="A129" t="s">
        <v>338</v>
      </c>
      <c r="B129">
        <v>1</v>
      </c>
      <c r="C129">
        <v>22</v>
      </c>
      <c r="D129" t="s">
        <v>427</v>
      </c>
      <c r="E129" t="s">
        <v>397</v>
      </c>
      <c r="F129">
        <v>2</v>
      </c>
      <c r="G129" s="60">
        <v>57.142857142857139</v>
      </c>
      <c r="H129" s="60">
        <v>49.106605350869096</v>
      </c>
    </row>
    <row r="130" spans="1:8">
      <c r="A130" t="s">
        <v>338</v>
      </c>
      <c r="B130">
        <v>1</v>
      </c>
      <c r="C130">
        <v>22</v>
      </c>
      <c r="D130" t="s">
        <v>427</v>
      </c>
      <c r="E130" t="s">
        <v>397</v>
      </c>
      <c r="F130">
        <v>3</v>
      </c>
      <c r="G130" s="60">
        <v>68.333333333333329</v>
      </c>
      <c r="H130" s="60">
        <v>55.755094133443734</v>
      </c>
    </row>
    <row r="131" spans="1:8">
      <c r="A131" t="s">
        <v>339</v>
      </c>
      <c r="B131">
        <v>2</v>
      </c>
      <c r="C131">
        <v>22</v>
      </c>
      <c r="D131" t="s">
        <v>427</v>
      </c>
      <c r="E131" t="s">
        <v>397</v>
      </c>
      <c r="F131">
        <v>1</v>
      </c>
      <c r="G131" s="60">
        <v>64.583333333333343</v>
      </c>
      <c r="H131" s="60">
        <v>53.478881650002094</v>
      </c>
    </row>
    <row r="132" spans="1:8">
      <c r="A132" t="s">
        <v>339</v>
      </c>
      <c r="B132">
        <v>2</v>
      </c>
      <c r="C132">
        <v>22</v>
      </c>
      <c r="D132" t="s">
        <v>427</v>
      </c>
      <c r="E132" t="s">
        <v>397</v>
      </c>
      <c r="F132">
        <v>2</v>
      </c>
      <c r="G132" s="60">
        <v>68.75</v>
      </c>
      <c r="H132" s="60">
        <v>56.01215641852108</v>
      </c>
    </row>
    <row r="133" spans="1:8">
      <c r="A133" t="s">
        <v>339</v>
      </c>
      <c r="B133">
        <v>2</v>
      </c>
      <c r="C133">
        <v>22</v>
      </c>
      <c r="D133" t="s">
        <v>427</v>
      </c>
      <c r="E133" t="s">
        <v>397</v>
      </c>
      <c r="F133">
        <v>3</v>
      </c>
      <c r="G133" s="60">
        <v>62.5</v>
      </c>
      <c r="H133" s="60">
        <v>52.238756092964962</v>
      </c>
    </row>
    <row r="134" spans="1:8">
      <c r="A134" t="s">
        <v>338</v>
      </c>
      <c r="B134">
        <v>1</v>
      </c>
      <c r="C134">
        <v>23</v>
      </c>
      <c r="D134" t="s">
        <v>428</v>
      </c>
      <c r="E134" t="s">
        <v>399</v>
      </c>
      <c r="F134">
        <v>1</v>
      </c>
      <c r="G134" s="60">
        <v>58.333333333333343</v>
      </c>
      <c r="H134" s="60">
        <v>49.797034113430229</v>
      </c>
    </row>
    <row r="135" spans="1:8">
      <c r="A135" t="s">
        <v>338</v>
      </c>
      <c r="B135">
        <v>1</v>
      </c>
      <c r="C135">
        <v>23</v>
      </c>
      <c r="D135" t="s">
        <v>428</v>
      </c>
      <c r="E135" t="s">
        <v>399</v>
      </c>
      <c r="F135">
        <v>2</v>
      </c>
      <c r="G135" s="60">
        <v>60</v>
      </c>
      <c r="H135" s="60">
        <v>50.768479516407751</v>
      </c>
    </row>
    <row r="136" spans="1:8">
      <c r="A136" t="s">
        <v>338</v>
      </c>
      <c r="B136">
        <v>1</v>
      </c>
      <c r="C136">
        <v>23</v>
      </c>
      <c r="D136" t="s">
        <v>428</v>
      </c>
      <c r="E136" t="s">
        <v>399</v>
      </c>
      <c r="F136">
        <v>3</v>
      </c>
      <c r="G136" s="60">
        <v>68.333333333333329</v>
      </c>
      <c r="H136" s="60">
        <v>55.755094133443734</v>
      </c>
    </row>
    <row r="137" spans="1:8">
      <c r="A137" t="s">
        <v>339</v>
      </c>
      <c r="B137">
        <v>2</v>
      </c>
      <c r="C137">
        <v>23</v>
      </c>
      <c r="D137" t="s">
        <v>428</v>
      </c>
      <c r="E137" t="s">
        <v>399</v>
      </c>
      <c r="F137">
        <v>1</v>
      </c>
      <c r="G137" s="60">
        <v>70.833333333333343</v>
      </c>
      <c r="H137" s="60">
        <v>57.312159176082048</v>
      </c>
    </row>
    <row r="138" spans="1:8">
      <c r="A138" t="s">
        <v>339</v>
      </c>
      <c r="B138">
        <v>2</v>
      </c>
      <c r="C138">
        <v>23</v>
      </c>
      <c r="D138" t="s">
        <v>428</v>
      </c>
      <c r="E138" t="s">
        <v>399</v>
      </c>
      <c r="F138">
        <v>2</v>
      </c>
      <c r="G138" s="60">
        <v>79.166666666666657</v>
      </c>
      <c r="H138" s="60">
        <v>62.842667356326004</v>
      </c>
    </row>
    <row r="139" spans="1:8">
      <c r="A139" t="s">
        <v>339</v>
      </c>
      <c r="B139">
        <v>2</v>
      </c>
      <c r="C139">
        <v>23</v>
      </c>
      <c r="D139" t="s">
        <v>428</v>
      </c>
      <c r="E139" t="s">
        <v>399</v>
      </c>
      <c r="F139">
        <v>3</v>
      </c>
      <c r="G139" s="60">
        <v>81.818181818181827</v>
      </c>
      <c r="H139" s="60">
        <v>64.760598179321079</v>
      </c>
    </row>
    <row r="140" spans="1:8">
      <c r="A140" t="s">
        <v>338</v>
      </c>
      <c r="B140">
        <v>1</v>
      </c>
      <c r="C140">
        <v>24</v>
      </c>
      <c r="D140" t="s">
        <v>429</v>
      </c>
      <c r="E140" t="s">
        <v>430</v>
      </c>
      <c r="F140">
        <v>1</v>
      </c>
      <c r="G140" s="60">
        <v>70</v>
      </c>
      <c r="H140" s="60">
        <v>56.789089239100917</v>
      </c>
    </row>
    <row r="141" spans="1:8">
      <c r="A141" t="s">
        <v>338</v>
      </c>
      <c r="B141">
        <v>1</v>
      </c>
      <c r="C141">
        <v>24</v>
      </c>
      <c r="D141" t="s">
        <v>429</v>
      </c>
      <c r="E141" t="s">
        <v>430</v>
      </c>
      <c r="F141">
        <v>2</v>
      </c>
      <c r="G141" s="60">
        <v>71.666666666666671</v>
      </c>
      <c r="H141" s="60">
        <v>57.839644309728435</v>
      </c>
    </row>
    <row r="142" spans="1:8">
      <c r="A142" t="s">
        <v>338</v>
      </c>
      <c r="B142">
        <v>1</v>
      </c>
      <c r="C142">
        <v>24</v>
      </c>
      <c r="D142" t="s">
        <v>429</v>
      </c>
      <c r="E142" t="s">
        <v>430</v>
      </c>
      <c r="F142">
        <v>3</v>
      </c>
      <c r="G142" s="60">
        <v>64.285714285714292</v>
      </c>
      <c r="H142" s="60">
        <v>53.300774799510123</v>
      </c>
    </row>
    <row r="143" spans="1:8">
      <c r="A143" t="s">
        <v>339</v>
      </c>
      <c r="B143">
        <v>2</v>
      </c>
      <c r="C143">
        <v>24</v>
      </c>
      <c r="D143" t="s">
        <v>429</v>
      </c>
      <c r="E143" t="s">
        <v>430</v>
      </c>
      <c r="F143">
        <v>1</v>
      </c>
      <c r="G143" s="60">
        <v>70.833333333333343</v>
      </c>
      <c r="H143" s="60">
        <v>57.312159176082048</v>
      </c>
    </row>
    <row r="144" spans="1:8">
      <c r="A144" t="s">
        <v>339</v>
      </c>
      <c r="B144">
        <v>2</v>
      </c>
      <c r="C144">
        <v>24</v>
      </c>
      <c r="D144" t="s">
        <v>429</v>
      </c>
      <c r="E144" t="s">
        <v>430</v>
      </c>
      <c r="F144">
        <v>2</v>
      </c>
      <c r="G144" s="60">
        <v>70.454545454545453</v>
      </c>
      <c r="H144" s="60">
        <v>57.073869958511139</v>
      </c>
    </row>
    <row r="145" spans="1:8">
      <c r="A145" t="s">
        <v>339</v>
      </c>
      <c r="B145">
        <v>2</v>
      </c>
      <c r="C145">
        <v>24</v>
      </c>
      <c r="D145" t="s">
        <v>429</v>
      </c>
      <c r="E145" t="s">
        <v>430</v>
      </c>
      <c r="F145">
        <v>3</v>
      </c>
      <c r="G145" s="60">
        <v>75</v>
      </c>
      <c r="H145" s="60">
        <v>59.999999999999993</v>
      </c>
    </row>
    <row r="146" spans="1:8">
      <c r="A146" t="s">
        <v>338</v>
      </c>
      <c r="B146">
        <v>1</v>
      </c>
      <c r="C146">
        <v>25</v>
      </c>
      <c r="D146" t="s">
        <v>349</v>
      </c>
      <c r="E146" t="s">
        <v>390</v>
      </c>
      <c r="F146">
        <v>1</v>
      </c>
      <c r="G146" s="60">
        <v>48.214285714285722</v>
      </c>
      <c r="H146" s="60">
        <v>43.976643451163724</v>
      </c>
    </row>
    <row r="147" spans="1:8">
      <c r="A147" t="s">
        <v>338</v>
      </c>
      <c r="B147">
        <v>1</v>
      </c>
      <c r="C147">
        <v>25</v>
      </c>
      <c r="D147" t="s">
        <v>349</v>
      </c>
      <c r="E147" t="s">
        <v>390</v>
      </c>
      <c r="F147">
        <v>2</v>
      </c>
      <c r="G147" s="60">
        <v>48.333333333333343</v>
      </c>
      <c r="H147" s="60">
        <v>44.044893414145044</v>
      </c>
    </row>
    <row r="148" spans="1:8">
      <c r="A148" t="s">
        <v>338</v>
      </c>
      <c r="B148">
        <v>1</v>
      </c>
      <c r="C148">
        <v>25</v>
      </c>
      <c r="D148" t="s">
        <v>349</v>
      </c>
      <c r="E148" t="s">
        <v>390</v>
      </c>
      <c r="F148">
        <v>3</v>
      </c>
      <c r="G148" s="60">
        <v>46.666666666666657</v>
      </c>
      <c r="H148" s="60">
        <v>43.08872313536282</v>
      </c>
    </row>
    <row r="149" spans="1:8">
      <c r="A149" t="s">
        <v>339</v>
      </c>
      <c r="B149">
        <v>2</v>
      </c>
      <c r="C149">
        <v>25</v>
      </c>
      <c r="D149" t="s">
        <v>349</v>
      </c>
      <c r="E149" t="s">
        <v>390</v>
      </c>
      <c r="F149">
        <v>1</v>
      </c>
      <c r="G149" s="60">
        <v>54.54545454545454</v>
      </c>
      <c r="H149" s="60">
        <v>47.607954285227066</v>
      </c>
    </row>
    <row r="150" spans="1:8">
      <c r="A150" t="s">
        <v>339</v>
      </c>
      <c r="B150">
        <v>2</v>
      </c>
      <c r="C150">
        <v>25</v>
      </c>
      <c r="D150" t="s">
        <v>349</v>
      </c>
      <c r="E150" t="s">
        <v>390</v>
      </c>
      <c r="F150">
        <v>2</v>
      </c>
      <c r="G150" s="60">
        <v>59.090909090909093</v>
      </c>
      <c r="H150" s="60">
        <v>50.237840848194956</v>
      </c>
    </row>
    <row r="151" spans="1:8">
      <c r="A151" t="s">
        <v>339</v>
      </c>
      <c r="B151">
        <v>2</v>
      </c>
      <c r="C151">
        <v>25</v>
      </c>
      <c r="D151" t="s">
        <v>349</v>
      </c>
      <c r="E151" t="s">
        <v>390</v>
      </c>
      <c r="F151">
        <v>3</v>
      </c>
      <c r="G151" s="60">
        <v>60.416666666666657</v>
      </c>
      <c r="H151" s="60">
        <v>51.012349590282909</v>
      </c>
    </row>
    <row r="152" spans="1:8">
      <c r="A152" t="s">
        <v>338</v>
      </c>
      <c r="B152">
        <v>1</v>
      </c>
      <c r="C152">
        <v>26</v>
      </c>
      <c r="D152" t="s">
        <v>431</v>
      </c>
      <c r="E152" t="s">
        <v>404</v>
      </c>
      <c r="F152">
        <v>1</v>
      </c>
      <c r="G152" s="60">
        <v>63.333333333333329</v>
      </c>
      <c r="H152" s="60">
        <v>52.733004976710276</v>
      </c>
    </row>
    <row r="153" spans="1:8">
      <c r="A153" t="s">
        <v>338</v>
      </c>
      <c r="B153">
        <v>1</v>
      </c>
      <c r="C153">
        <v>26</v>
      </c>
      <c r="D153" t="s">
        <v>431</v>
      </c>
      <c r="E153" t="s">
        <v>404</v>
      </c>
      <c r="F153">
        <v>2</v>
      </c>
      <c r="G153" s="60">
        <v>61.666666666666671</v>
      </c>
      <c r="H153" s="60">
        <v>51.746699410775847</v>
      </c>
    </row>
    <row r="154" spans="1:8">
      <c r="A154" t="s">
        <v>338</v>
      </c>
      <c r="B154">
        <v>1</v>
      </c>
      <c r="C154">
        <v>26</v>
      </c>
      <c r="D154" t="s">
        <v>431</v>
      </c>
      <c r="E154" t="s">
        <v>404</v>
      </c>
      <c r="F154">
        <v>3</v>
      </c>
      <c r="G154" s="60">
        <v>70</v>
      </c>
      <c r="H154" s="60">
        <v>56.789089239100917</v>
      </c>
    </row>
    <row r="155" spans="1:8">
      <c r="A155" t="s">
        <v>339</v>
      </c>
      <c r="B155">
        <v>2</v>
      </c>
      <c r="C155">
        <v>26</v>
      </c>
      <c r="D155" t="s">
        <v>431</v>
      </c>
      <c r="E155" t="s">
        <v>404</v>
      </c>
      <c r="F155">
        <v>1</v>
      </c>
      <c r="G155" s="60">
        <v>72.916666666666657</v>
      </c>
      <c r="H155" s="60">
        <v>58.639806367989038</v>
      </c>
    </row>
    <row r="156" spans="1:8">
      <c r="A156" t="s">
        <v>339</v>
      </c>
      <c r="B156">
        <v>2</v>
      </c>
      <c r="C156">
        <v>26</v>
      </c>
      <c r="D156" t="s">
        <v>431</v>
      </c>
      <c r="E156" t="s">
        <v>404</v>
      </c>
      <c r="F156">
        <v>2</v>
      </c>
      <c r="G156" s="60">
        <v>64.583333333333343</v>
      </c>
      <c r="H156" s="60">
        <v>53.478881650002094</v>
      </c>
    </row>
    <row r="157" spans="1:8">
      <c r="A157" t="s">
        <v>339</v>
      </c>
      <c r="B157">
        <v>2</v>
      </c>
      <c r="C157">
        <v>26</v>
      </c>
      <c r="D157" t="s">
        <v>431</v>
      </c>
      <c r="E157" t="s">
        <v>404</v>
      </c>
      <c r="F157">
        <v>3</v>
      </c>
      <c r="G157" s="60">
        <v>72.916666666666657</v>
      </c>
      <c r="H157" s="60">
        <v>58.639806367989038</v>
      </c>
    </row>
    <row r="158" spans="1:8">
      <c r="A158" t="s">
        <v>338</v>
      </c>
      <c r="B158">
        <v>1</v>
      </c>
      <c r="C158">
        <v>27</v>
      </c>
      <c r="D158" t="s">
        <v>432</v>
      </c>
      <c r="E158" t="s">
        <v>402</v>
      </c>
      <c r="F158">
        <v>1</v>
      </c>
      <c r="G158" s="60">
        <v>63.333333333333329</v>
      </c>
      <c r="H158" s="60">
        <v>52.733004976710276</v>
      </c>
    </row>
    <row r="159" spans="1:8">
      <c r="A159" t="s">
        <v>338</v>
      </c>
      <c r="B159">
        <v>1</v>
      </c>
      <c r="C159">
        <v>27</v>
      </c>
      <c r="D159" t="s">
        <v>432</v>
      </c>
      <c r="E159" t="s">
        <v>402</v>
      </c>
      <c r="F159">
        <v>2</v>
      </c>
      <c r="G159" s="60">
        <v>68.333333333333329</v>
      </c>
      <c r="H159" s="60">
        <v>55.755094133443734</v>
      </c>
    </row>
    <row r="160" spans="1:8">
      <c r="A160" t="s">
        <v>338</v>
      </c>
      <c r="B160">
        <v>1</v>
      </c>
      <c r="C160">
        <v>27</v>
      </c>
      <c r="D160" t="s">
        <v>432</v>
      </c>
      <c r="E160" t="s">
        <v>402</v>
      </c>
      <c r="F160">
        <v>3</v>
      </c>
      <c r="G160" s="60">
        <v>63.333333333333329</v>
      </c>
      <c r="H160" s="60">
        <v>52.733004976710276</v>
      </c>
    </row>
    <row r="161" spans="1:8">
      <c r="A161" t="s">
        <v>339</v>
      </c>
      <c r="B161">
        <v>2</v>
      </c>
      <c r="C161">
        <v>27</v>
      </c>
      <c r="D161" t="s">
        <v>432</v>
      </c>
      <c r="E161" t="s">
        <v>402</v>
      </c>
      <c r="F161">
        <v>1</v>
      </c>
      <c r="G161" s="60">
        <v>66.666666666666657</v>
      </c>
      <c r="H161" s="60">
        <v>54.735610317245346</v>
      </c>
    </row>
    <row r="162" spans="1:8">
      <c r="A162" t="s">
        <v>339</v>
      </c>
      <c r="B162">
        <v>2</v>
      </c>
      <c r="C162">
        <v>27</v>
      </c>
      <c r="D162" t="s">
        <v>432</v>
      </c>
      <c r="E162" t="s">
        <v>402</v>
      </c>
      <c r="F162">
        <v>2</v>
      </c>
      <c r="G162" s="60">
        <v>72.727272727272734</v>
      </c>
      <c r="H162" s="60">
        <v>58.517845894706149</v>
      </c>
    </row>
    <row r="163" spans="1:8">
      <c r="A163" t="s">
        <v>339</v>
      </c>
      <c r="B163">
        <v>2</v>
      </c>
      <c r="C163">
        <v>27</v>
      </c>
      <c r="D163" t="s">
        <v>432</v>
      </c>
      <c r="E163" t="s">
        <v>402</v>
      </c>
      <c r="F163">
        <v>3</v>
      </c>
      <c r="G163" s="60">
        <v>75</v>
      </c>
      <c r="H163" s="60">
        <v>59.999999999999993</v>
      </c>
    </row>
    <row r="164" spans="1:8">
      <c r="A164" t="s">
        <v>338</v>
      </c>
      <c r="B164">
        <v>1</v>
      </c>
      <c r="C164">
        <v>28</v>
      </c>
      <c r="D164" t="s">
        <v>433</v>
      </c>
      <c r="E164" t="s">
        <v>434</v>
      </c>
      <c r="F164">
        <v>1</v>
      </c>
      <c r="G164" s="60">
        <v>63.333333333333329</v>
      </c>
      <c r="H164" s="60">
        <v>52.733004976710276</v>
      </c>
    </row>
    <row r="165" spans="1:8">
      <c r="A165" t="s">
        <v>338</v>
      </c>
      <c r="B165">
        <v>1</v>
      </c>
      <c r="C165">
        <v>28</v>
      </c>
      <c r="D165" t="s">
        <v>433</v>
      </c>
      <c r="E165" t="s">
        <v>434</v>
      </c>
      <c r="F165">
        <v>2</v>
      </c>
      <c r="G165" s="60">
        <v>60</v>
      </c>
      <c r="H165" s="60">
        <v>50.768479516407751</v>
      </c>
    </row>
    <row r="166" spans="1:8">
      <c r="A166" t="s">
        <v>338</v>
      </c>
      <c r="B166">
        <v>1</v>
      </c>
      <c r="C166">
        <v>28</v>
      </c>
      <c r="D166" t="s">
        <v>433</v>
      </c>
      <c r="E166" t="s">
        <v>434</v>
      </c>
      <c r="F166">
        <v>3</v>
      </c>
      <c r="G166" s="60">
        <v>63.333333333333329</v>
      </c>
      <c r="H166" s="60">
        <v>52.733004976710276</v>
      </c>
    </row>
    <row r="167" spans="1:8">
      <c r="A167" t="s">
        <v>339</v>
      </c>
      <c r="B167">
        <v>2</v>
      </c>
      <c r="C167">
        <v>28</v>
      </c>
      <c r="D167" t="s">
        <v>433</v>
      </c>
      <c r="E167" t="s">
        <v>434</v>
      </c>
      <c r="F167">
        <v>1</v>
      </c>
      <c r="G167" s="60">
        <v>80</v>
      </c>
      <c r="H167" s="60">
        <v>63.43494882292201</v>
      </c>
    </row>
    <row r="168" spans="1:8">
      <c r="A168" t="s">
        <v>339</v>
      </c>
      <c r="B168">
        <v>2</v>
      </c>
      <c r="C168">
        <v>28</v>
      </c>
      <c r="D168" t="s">
        <v>433</v>
      </c>
      <c r="E168" t="s">
        <v>434</v>
      </c>
      <c r="F168">
        <v>2</v>
      </c>
      <c r="G168" s="60">
        <v>70.833333333333343</v>
      </c>
      <c r="H168" s="60">
        <v>57.312159176082048</v>
      </c>
    </row>
    <row r="169" spans="1:8">
      <c r="A169" t="s">
        <v>339</v>
      </c>
      <c r="B169">
        <v>2</v>
      </c>
      <c r="C169">
        <v>28</v>
      </c>
      <c r="D169" t="s">
        <v>433</v>
      </c>
      <c r="E169" t="s">
        <v>434</v>
      </c>
      <c r="F169">
        <v>3</v>
      </c>
      <c r="G169" s="60">
        <v>81.25</v>
      </c>
      <c r="H169" s="60">
        <v>64.341093726744717</v>
      </c>
    </row>
    <row r="170" spans="1:8">
      <c r="A170" t="s">
        <v>338</v>
      </c>
      <c r="B170">
        <v>1</v>
      </c>
      <c r="C170">
        <v>29</v>
      </c>
      <c r="D170" t="s">
        <v>350</v>
      </c>
      <c r="E170" t="s">
        <v>409</v>
      </c>
      <c r="F170">
        <v>1</v>
      </c>
      <c r="G170" s="60">
        <v>35</v>
      </c>
      <c r="H170" s="60">
        <v>36.271198438138953</v>
      </c>
    </row>
    <row r="171" spans="1:8">
      <c r="A171" t="s">
        <v>338</v>
      </c>
      <c r="B171">
        <v>1</v>
      </c>
      <c r="C171">
        <v>29</v>
      </c>
      <c r="D171" t="s">
        <v>350</v>
      </c>
      <c r="E171" t="s">
        <v>409</v>
      </c>
      <c r="F171">
        <v>2</v>
      </c>
      <c r="G171" s="60">
        <v>40</v>
      </c>
      <c r="H171" s="60">
        <v>39.231520483592263</v>
      </c>
    </row>
    <row r="172" spans="1:8">
      <c r="A172" t="s">
        <v>338</v>
      </c>
      <c r="B172">
        <v>1</v>
      </c>
      <c r="C172">
        <v>29</v>
      </c>
      <c r="D172" t="s">
        <v>350</v>
      </c>
      <c r="E172" t="s">
        <v>409</v>
      </c>
      <c r="F172">
        <v>3</v>
      </c>
      <c r="G172" s="60">
        <v>39.285714285714278</v>
      </c>
      <c r="H172" s="60">
        <v>38.813187441905718</v>
      </c>
    </row>
    <row r="173" spans="1:8">
      <c r="A173" t="s">
        <v>339</v>
      </c>
      <c r="B173">
        <v>2</v>
      </c>
      <c r="C173">
        <v>29</v>
      </c>
      <c r="D173" t="s">
        <v>350</v>
      </c>
      <c r="E173" t="s">
        <v>409</v>
      </c>
      <c r="F173">
        <v>1</v>
      </c>
      <c r="G173" s="60">
        <v>54.166666666666657</v>
      </c>
      <c r="H173" s="60">
        <v>47.390095923599567</v>
      </c>
    </row>
    <row r="174" spans="1:8">
      <c r="A174" t="s">
        <v>339</v>
      </c>
      <c r="B174">
        <v>2</v>
      </c>
      <c r="C174">
        <v>29</v>
      </c>
      <c r="D174" t="s">
        <v>350</v>
      </c>
      <c r="E174" t="s">
        <v>409</v>
      </c>
      <c r="F174">
        <v>2</v>
      </c>
      <c r="G174" s="60">
        <v>41.666666666666671</v>
      </c>
      <c r="H174" s="60">
        <v>40.202965886569778</v>
      </c>
    </row>
    <row r="175" spans="1:8">
      <c r="A175" t="s">
        <v>339</v>
      </c>
      <c r="B175">
        <v>2</v>
      </c>
      <c r="C175">
        <v>29</v>
      </c>
      <c r="D175" t="s">
        <v>350</v>
      </c>
      <c r="E175" t="s">
        <v>409</v>
      </c>
      <c r="F175">
        <v>3</v>
      </c>
      <c r="G175" s="60">
        <v>58.333333333333343</v>
      </c>
      <c r="H175" s="60">
        <v>49.797034113430229</v>
      </c>
    </row>
    <row r="176" spans="1:8">
      <c r="A176" t="s">
        <v>338</v>
      </c>
      <c r="B176">
        <v>1</v>
      </c>
      <c r="C176">
        <v>30</v>
      </c>
      <c r="D176" t="s">
        <v>435</v>
      </c>
      <c r="E176" t="s">
        <v>384</v>
      </c>
      <c r="F176">
        <v>1</v>
      </c>
      <c r="G176" s="60">
        <v>66.666666666666657</v>
      </c>
      <c r="H176" s="60">
        <v>54.735610317245346</v>
      </c>
    </row>
    <row r="177" spans="1:8">
      <c r="A177" t="s">
        <v>338</v>
      </c>
      <c r="B177">
        <v>1</v>
      </c>
      <c r="C177">
        <v>30</v>
      </c>
      <c r="D177" t="s">
        <v>435</v>
      </c>
      <c r="E177" t="s">
        <v>384</v>
      </c>
      <c r="F177">
        <v>2</v>
      </c>
      <c r="G177" s="60">
        <v>63.333333333333329</v>
      </c>
      <c r="H177" s="60">
        <v>52.733004976710276</v>
      </c>
    </row>
    <row r="178" spans="1:8">
      <c r="A178" t="s">
        <v>338</v>
      </c>
      <c r="B178">
        <v>1</v>
      </c>
      <c r="C178">
        <v>30</v>
      </c>
      <c r="D178" t="s">
        <v>435</v>
      </c>
      <c r="E178" t="s">
        <v>384</v>
      </c>
      <c r="F178">
        <v>3</v>
      </c>
      <c r="G178" s="60">
        <v>66.666666666666657</v>
      </c>
      <c r="H178" s="60">
        <v>54.735610317245346</v>
      </c>
    </row>
    <row r="179" spans="1:8">
      <c r="A179" t="s">
        <v>339</v>
      </c>
      <c r="B179">
        <v>2</v>
      </c>
      <c r="C179">
        <v>30</v>
      </c>
      <c r="D179" t="s">
        <v>435</v>
      </c>
      <c r="E179" t="s">
        <v>384</v>
      </c>
      <c r="F179">
        <v>1</v>
      </c>
      <c r="G179" s="60">
        <v>54.54545454545454</v>
      </c>
      <c r="H179" s="60">
        <v>47.607954285227066</v>
      </c>
    </row>
    <row r="180" spans="1:8">
      <c r="A180" t="s">
        <v>339</v>
      </c>
      <c r="B180">
        <v>2</v>
      </c>
      <c r="C180">
        <v>30</v>
      </c>
      <c r="D180" t="s">
        <v>435</v>
      </c>
      <c r="E180" t="s">
        <v>384</v>
      </c>
      <c r="F180">
        <v>2</v>
      </c>
      <c r="G180" s="60">
        <v>52.083333333333343</v>
      </c>
      <c r="H180" s="60">
        <v>46.1940077316344</v>
      </c>
    </row>
    <row r="181" spans="1:8">
      <c r="A181" t="s">
        <v>339</v>
      </c>
      <c r="B181">
        <v>2</v>
      </c>
      <c r="C181">
        <v>30</v>
      </c>
      <c r="D181" t="s">
        <v>435</v>
      </c>
      <c r="E181" t="s">
        <v>384</v>
      </c>
      <c r="F181">
        <v>3</v>
      </c>
      <c r="G181" s="60">
        <v>54.166666666666657</v>
      </c>
      <c r="H181" s="60">
        <v>47.390095923599567</v>
      </c>
    </row>
    <row r="182" spans="1:8">
      <c r="A182" t="s">
        <v>338</v>
      </c>
      <c r="B182">
        <v>1</v>
      </c>
      <c r="C182">
        <v>31</v>
      </c>
      <c r="D182" t="s">
        <v>436</v>
      </c>
      <c r="E182" t="s">
        <v>403</v>
      </c>
      <c r="F182">
        <v>1</v>
      </c>
      <c r="G182" s="60">
        <v>67.857142857142861</v>
      </c>
      <c r="H182" s="60">
        <v>55.462416213819154</v>
      </c>
    </row>
    <row r="183" spans="1:8">
      <c r="A183" t="s">
        <v>338</v>
      </c>
      <c r="B183">
        <v>1</v>
      </c>
      <c r="C183">
        <v>31</v>
      </c>
      <c r="D183" t="s">
        <v>436</v>
      </c>
      <c r="E183" t="s">
        <v>403</v>
      </c>
      <c r="F183">
        <v>2</v>
      </c>
      <c r="G183" s="60">
        <v>69.642857142857139</v>
      </c>
      <c r="H183" s="60">
        <v>56.56619819964893</v>
      </c>
    </row>
    <row r="184" spans="1:8">
      <c r="A184" t="s">
        <v>338</v>
      </c>
      <c r="B184">
        <v>1</v>
      </c>
      <c r="C184">
        <v>31</v>
      </c>
      <c r="D184" t="s">
        <v>436</v>
      </c>
      <c r="E184" t="s">
        <v>403</v>
      </c>
      <c r="F184">
        <v>3</v>
      </c>
      <c r="G184" s="60">
        <v>71.666666666666671</v>
      </c>
      <c r="H184" s="60">
        <v>57.839644309728435</v>
      </c>
    </row>
    <row r="185" spans="1:8">
      <c r="A185" t="s">
        <v>339</v>
      </c>
      <c r="B185">
        <v>2</v>
      </c>
      <c r="C185">
        <v>31</v>
      </c>
      <c r="D185" t="s">
        <v>436</v>
      </c>
      <c r="E185" t="s">
        <v>403</v>
      </c>
      <c r="F185">
        <v>1</v>
      </c>
      <c r="G185" s="60">
        <v>68.75</v>
      </c>
      <c r="H185" s="60">
        <v>56.01215641852108</v>
      </c>
    </row>
    <row r="186" spans="1:8">
      <c r="A186" t="s">
        <v>339</v>
      </c>
      <c r="B186">
        <v>2</v>
      </c>
      <c r="C186">
        <v>31</v>
      </c>
      <c r="D186" t="s">
        <v>436</v>
      </c>
      <c r="E186" t="s">
        <v>403</v>
      </c>
      <c r="F186">
        <v>2</v>
      </c>
      <c r="G186" s="60">
        <v>62.5</v>
      </c>
      <c r="H186" s="60">
        <v>52.238756092964962</v>
      </c>
    </row>
    <row r="187" spans="1:8">
      <c r="A187" t="s">
        <v>339</v>
      </c>
      <c r="B187">
        <v>2</v>
      </c>
      <c r="C187">
        <v>31</v>
      </c>
      <c r="D187" t="s">
        <v>436</v>
      </c>
      <c r="E187" t="s">
        <v>403</v>
      </c>
      <c r="F187">
        <v>3</v>
      </c>
      <c r="G187" s="60">
        <v>61.363636363636367</v>
      </c>
      <c r="H187" s="60">
        <v>51.56827939347243</v>
      </c>
    </row>
    <row r="188" spans="1:8">
      <c r="A188" t="s">
        <v>338</v>
      </c>
      <c r="B188">
        <v>1</v>
      </c>
      <c r="C188">
        <v>32</v>
      </c>
      <c r="D188" t="s">
        <v>437</v>
      </c>
      <c r="E188" t="s">
        <v>438</v>
      </c>
      <c r="F188">
        <v>1</v>
      </c>
      <c r="G188" s="60">
        <v>64.285714285714292</v>
      </c>
      <c r="H188" s="60">
        <v>53.300774799510123</v>
      </c>
    </row>
    <row r="189" spans="1:8">
      <c r="A189" t="s">
        <v>338</v>
      </c>
      <c r="B189">
        <v>1</v>
      </c>
      <c r="C189">
        <v>32</v>
      </c>
      <c r="D189" t="s">
        <v>437</v>
      </c>
      <c r="E189" t="s">
        <v>438</v>
      </c>
      <c r="F189">
        <v>2</v>
      </c>
      <c r="G189" s="60">
        <v>66.666666666666657</v>
      </c>
      <c r="H189" s="60">
        <v>54.735610317245346</v>
      </c>
    </row>
    <row r="190" spans="1:8">
      <c r="A190" t="s">
        <v>338</v>
      </c>
      <c r="B190">
        <v>1</v>
      </c>
      <c r="C190">
        <v>32</v>
      </c>
      <c r="D190" t="s">
        <v>437</v>
      </c>
      <c r="E190" t="s">
        <v>438</v>
      </c>
      <c r="F190">
        <v>3</v>
      </c>
      <c r="G190" s="60">
        <v>50</v>
      </c>
      <c r="H190" s="60">
        <v>45.000000000000007</v>
      </c>
    </row>
    <row r="191" spans="1:8">
      <c r="A191" t="s">
        <v>339</v>
      </c>
      <c r="B191">
        <v>2</v>
      </c>
      <c r="C191">
        <v>32</v>
      </c>
      <c r="D191" t="s">
        <v>437</v>
      </c>
      <c r="E191" t="s">
        <v>438</v>
      </c>
      <c r="F191">
        <v>1</v>
      </c>
      <c r="G191" s="60">
        <v>75</v>
      </c>
      <c r="H191" s="60">
        <v>59.999999999999993</v>
      </c>
    </row>
    <row r="192" spans="1:8">
      <c r="A192" t="s">
        <v>339</v>
      </c>
      <c r="B192">
        <v>2</v>
      </c>
      <c r="C192">
        <v>32</v>
      </c>
      <c r="D192" t="s">
        <v>437</v>
      </c>
      <c r="E192" t="s">
        <v>438</v>
      </c>
      <c r="F192">
        <v>2</v>
      </c>
      <c r="G192" s="60">
        <v>68.75</v>
      </c>
      <c r="H192" s="60">
        <v>56.01215641852108</v>
      </c>
    </row>
    <row r="193" spans="1:8">
      <c r="A193" t="s">
        <v>339</v>
      </c>
      <c r="B193">
        <v>2</v>
      </c>
      <c r="C193">
        <v>32</v>
      </c>
      <c r="D193" t="s">
        <v>437</v>
      </c>
      <c r="E193" t="s">
        <v>438</v>
      </c>
      <c r="F193">
        <v>3</v>
      </c>
      <c r="G193" s="60">
        <v>64.583333333333343</v>
      </c>
      <c r="H193" s="60">
        <v>53.478881650002094</v>
      </c>
    </row>
    <row r="194" spans="1:8">
      <c r="A194" t="s">
        <v>338</v>
      </c>
      <c r="B194">
        <v>1</v>
      </c>
      <c r="C194">
        <v>33</v>
      </c>
      <c r="D194" t="s">
        <v>323</v>
      </c>
      <c r="E194" t="s">
        <v>392</v>
      </c>
      <c r="F194">
        <v>1</v>
      </c>
      <c r="G194" s="60">
        <v>38.333333333333343</v>
      </c>
      <c r="H194" s="60">
        <v>38.25330058922416</v>
      </c>
    </row>
    <row r="195" spans="1:8">
      <c r="A195" t="s">
        <v>338</v>
      </c>
      <c r="B195">
        <v>1</v>
      </c>
      <c r="C195">
        <v>33</v>
      </c>
      <c r="D195" t="s">
        <v>323</v>
      </c>
      <c r="E195" t="s">
        <v>392</v>
      </c>
      <c r="F195">
        <v>2</v>
      </c>
      <c r="G195" s="60">
        <v>50</v>
      </c>
      <c r="H195" s="60">
        <v>45.000000000000007</v>
      </c>
    </row>
    <row r="196" spans="1:8">
      <c r="A196" t="s">
        <v>338</v>
      </c>
      <c r="B196">
        <v>1</v>
      </c>
      <c r="C196">
        <v>33</v>
      </c>
      <c r="D196" t="s">
        <v>323</v>
      </c>
      <c r="E196" t="s">
        <v>392</v>
      </c>
      <c r="F196">
        <v>3</v>
      </c>
      <c r="G196" s="60">
        <v>46.666666666666657</v>
      </c>
      <c r="H196" s="60">
        <v>43.08872313536282</v>
      </c>
    </row>
    <row r="197" spans="1:8">
      <c r="A197" t="s">
        <v>339</v>
      </c>
      <c r="B197">
        <v>2</v>
      </c>
      <c r="C197">
        <v>33</v>
      </c>
      <c r="D197" t="s">
        <v>323</v>
      </c>
      <c r="E197" t="s">
        <v>392</v>
      </c>
      <c r="F197">
        <v>1</v>
      </c>
      <c r="G197" s="60">
        <v>50</v>
      </c>
      <c r="H197" s="60">
        <v>45.000000000000007</v>
      </c>
    </row>
    <row r="198" spans="1:8">
      <c r="A198" t="s">
        <v>339</v>
      </c>
      <c r="B198">
        <v>2</v>
      </c>
      <c r="C198">
        <v>33</v>
      </c>
      <c r="D198" t="s">
        <v>323</v>
      </c>
      <c r="E198" t="s">
        <v>392</v>
      </c>
      <c r="F198">
        <v>2</v>
      </c>
      <c r="G198" s="60">
        <v>58.333333333333343</v>
      </c>
      <c r="H198" s="60">
        <v>49.797034113430229</v>
      </c>
    </row>
    <row r="199" spans="1:8">
      <c r="A199" t="s">
        <v>339</v>
      </c>
      <c r="B199">
        <v>2</v>
      </c>
      <c r="C199">
        <v>33</v>
      </c>
      <c r="D199" t="s">
        <v>323</v>
      </c>
      <c r="E199" t="s">
        <v>392</v>
      </c>
      <c r="F199">
        <v>3</v>
      </c>
      <c r="G199" s="60">
        <v>50</v>
      </c>
      <c r="H199" s="60">
        <v>45.000000000000007</v>
      </c>
    </row>
    <row r="200" spans="1:8">
      <c r="A200" t="s">
        <v>338</v>
      </c>
      <c r="B200">
        <v>1</v>
      </c>
      <c r="C200">
        <v>34</v>
      </c>
      <c r="D200" t="s">
        <v>439</v>
      </c>
      <c r="E200" t="s">
        <v>398</v>
      </c>
      <c r="F200">
        <v>1</v>
      </c>
      <c r="G200" s="60">
        <v>75</v>
      </c>
      <c r="H200" s="60">
        <v>59.999999999999993</v>
      </c>
    </row>
    <row r="201" spans="1:8">
      <c r="A201" t="s">
        <v>338</v>
      </c>
      <c r="B201">
        <v>1</v>
      </c>
      <c r="C201">
        <v>34</v>
      </c>
      <c r="D201" t="s">
        <v>439</v>
      </c>
      <c r="E201" t="s">
        <v>398</v>
      </c>
      <c r="F201">
        <v>2</v>
      </c>
      <c r="G201" s="60">
        <v>61.666666666666671</v>
      </c>
      <c r="H201" s="60">
        <v>51.746699410775847</v>
      </c>
    </row>
    <row r="202" spans="1:8">
      <c r="A202" t="s">
        <v>338</v>
      </c>
      <c r="B202">
        <v>1</v>
      </c>
      <c r="C202">
        <v>34</v>
      </c>
      <c r="D202" t="s">
        <v>439</v>
      </c>
      <c r="E202" t="s">
        <v>398</v>
      </c>
      <c r="F202">
        <v>3</v>
      </c>
      <c r="G202" s="60">
        <v>61.666666666666671</v>
      </c>
      <c r="H202" s="60">
        <v>51.746699410775847</v>
      </c>
    </row>
    <row r="203" spans="1:8">
      <c r="A203" t="s">
        <v>339</v>
      </c>
      <c r="B203">
        <v>2</v>
      </c>
      <c r="C203">
        <v>34</v>
      </c>
      <c r="D203" t="s">
        <v>439</v>
      </c>
      <c r="E203" t="s">
        <v>398</v>
      </c>
      <c r="F203">
        <v>1</v>
      </c>
      <c r="G203" s="60">
        <v>60.416666666666657</v>
      </c>
      <c r="H203" s="60">
        <v>51.012349590282909</v>
      </c>
    </row>
    <row r="204" spans="1:8">
      <c r="A204" t="s">
        <v>339</v>
      </c>
      <c r="B204">
        <v>2</v>
      </c>
      <c r="C204">
        <v>34</v>
      </c>
      <c r="D204" t="s">
        <v>439</v>
      </c>
      <c r="E204" t="s">
        <v>398</v>
      </c>
      <c r="F204">
        <v>2</v>
      </c>
      <c r="G204" s="60">
        <v>58.333333333333343</v>
      </c>
      <c r="H204" s="60">
        <v>49.797034113430229</v>
      </c>
    </row>
    <row r="205" spans="1:8">
      <c r="A205" t="s">
        <v>339</v>
      </c>
      <c r="B205">
        <v>2</v>
      </c>
      <c r="C205">
        <v>34</v>
      </c>
      <c r="D205" t="s">
        <v>439</v>
      </c>
      <c r="E205" t="s">
        <v>398</v>
      </c>
      <c r="F205">
        <v>3</v>
      </c>
      <c r="G205" s="60">
        <v>64.583333333333343</v>
      </c>
      <c r="H205" s="60">
        <v>53.478881650002094</v>
      </c>
    </row>
    <row r="206" spans="1:8">
      <c r="A206" t="s">
        <v>338</v>
      </c>
      <c r="B206">
        <v>1</v>
      </c>
      <c r="C206">
        <v>35</v>
      </c>
      <c r="D206" t="s">
        <v>440</v>
      </c>
      <c r="E206" t="s">
        <v>400</v>
      </c>
      <c r="F206">
        <v>1</v>
      </c>
      <c r="G206" s="60">
        <v>65</v>
      </c>
      <c r="H206" s="60">
        <v>53.728801561861061</v>
      </c>
    </row>
    <row r="207" spans="1:8">
      <c r="A207" t="s">
        <v>338</v>
      </c>
      <c r="B207">
        <v>1</v>
      </c>
      <c r="C207">
        <v>35</v>
      </c>
      <c r="D207" t="s">
        <v>440</v>
      </c>
      <c r="E207" t="s">
        <v>400</v>
      </c>
      <c r="F207">
        <v>2</v>
      </c>
      <c r="G207" s="60">
        <v>68.333333333333329</v>
      </c>
      <c r="H207" s="60">
        <v>55.755094133443734</v>
      </c>
    </row>
    <row r="208" spans="1:8">
      <c r="A208" t="s">
        <v>338</v>
      </c>
      <c r="B208">
        <v>1</v>
      </c>
      <c r="C208">
        <v>35</v>
      </c>
      <c r="D208" t="s">
        <v>440</v>
      </c>
      <c r="E208" t="s">
        <v>400</v>
      </c>
      <c r="F208">
        <v>3</v>
      </c>
      <c r="G208" s="60">
        <v>65</v>
      </c>
      <c r="H208" s="60">
        <v>53.728801561861061</v>
      </c>
    </row>
    <row r="209" spans="1:8">
      <c r="A209" t="s">
        <v>339</v>
      </c>
      <c r="B209">
        <v>2</v>
      </c>
      <c r="C209">
        <v>35</v>
      </c>
      <c r="D209" t="s">
        <v>440</v>
      </c>
      <c r="E209" t="s">
        <v>400</v>
      </c>
      <c r="F209">
        <v>1</v>
      </c>
      <c r="G209" s="60">
        <v>72.5</v>
      </c>
      <c r="H209" s="60">
        <v>58.371841975201498</v>
      </c>
    </row>
    <row r="210" spans="1:8">
      <c r="A210" t="s">
        <v>339</v>
      </c>
      <c r="B210">
        <v>2</v>
      </c>
      <c r="C210">
        <v>35</v>
      </c>
      <c r="D210" t="s">
        <v>440</v>
      </c>
      <c r="E210" t="s">
        <v>400</v>
      </c>
      <c r="F210">
        <v>2</v>
      </c>
      <c r="G210" s="60">
        <v>70.454545454545453</v>
      </c>
      <c r="H210" s="60">
        <v>57.073869958511139</v>
      </c>
    </row>
    <row r="211" spans="1:8">
      <c r="A211" t="s">
        <v>339</v>
      </c>
      <c r="B211">
        <v>2</v>
      </c>
      <c r="C211">
        <v>35</v>
      </c>
      <c r="D211" t="s">
        <v>440</v>
      </c>
      <c r="E211" t="s">
        <v>400</v>
      </c>
      <c r="F211">
        <v>3</v>
      </c>
      <c r="G211" s="60">
        <v>79.166666666666657</v>
      </c>
      <c r="H211" s="60">
        <v>62.842667356326004</v>
      </c>
    </row>
    <row r="212" spans="1:8">
      <c r="A212" t="s">
        <v>338</v>
      </c>
      <c r="B212">
        <v>1</v>
      </c>
      <c r="C212">
        <v>36</v>
      </c>
      <c r="D212" t="s">
        <v>441</v>
      </c>
      <c r="E212" t="s">
        <v>442</v>
      </c>
      <c r="F212">
        <v>1</v>
      </c>
      <c r="G212" s="60">
        <v>68.333333333333329</v>
      </c>
      <c r="H212" s="60">
        <v>55.755094133443734</v>
      </c>
    </row>
    <row r="213" spans="1:8">
      <c r="A213" t="s">
        <v>338</v>
      </c>
      <c r="B213">
        <v>1</v>
      </c>
      <c r="C213">
        <v>36</v>
      </c>
      <c r="D213" t="s">
        <v>441</v>
      </c>
      <c r="E213" t="s">
        <v>442</v>
      </c>
      <c r="F213">
        <v>2</v>
      </c>
      <c r="G213" s="60">
        <v>60</v>
      </c>
      <c r="H213" s="60">
        <v>50.768479516407751</v>
      </c>
    </row>
    <row r="214" spans="1:8">
      <c r="A214" t="s">
        <v>338</v>
      </c>
      <c r="B214">
        <v>1</v>
      </c>
      <c r="C214">
        <v>36</v>
      </c>
      <c r="D214" t="s">
        <v>441</v>
      </c>
      <c r="E214" t="s">
        <v>442</v>
      </c>
      <c r="F214">
        <v>3</v>
      </c>
      <c r="G214" s="60">
        <v>66.666666666666657</v>
      </c>
      <c r="H214" s="60">
        <v>54.735610317245346</v>
      </c>
    </row>
    <row r="215" spans="1:8">
      <c r="A215" t="s">
        <v>339</v>
      </c>
      <c r="B215">
        <v>2</v>
      </c>
      <c r="C215">
        <v>36</v>
      </c>
      <c r="D215" t="s">
        <v>441</v>
      </c>
      <c r="E215" t="s">
        <v>442</v>
      </c>
      <c r="F215">
        <v>1</v>
      </c>
      <c r="G215" s="60">
        <v>65.909090909090907</v>
      </c>
      <c r="H215" s="60">
        <v>54.276502267510324</v>
      </c>
    </row>
    <row r="216" spans="1:8">
      <c r="A216" t="s">
        <v>339</v>
      </c>
      <c r="B216">
        <v>2</v>
      </c>
      <c r="C216">
        <v>36</v>
      </c>
      <c r="D216" t="s">
        <v>441</v>
      </c>
      <c r="E216" t="s">
        <v>442</v>
      </c>
      <c r="F216">
        <v>2</v>
      </c>
      <c r="G216" s="60">
        <v>68.75</v>
      </c>
      <c r="H216" s="60">
        <v>56.01215641852108</v>
      </c>
    </row>
    <row r="217" spans="1:8">
      <c r="A217" t="s">
        <v>339</v>
      </c>
      <c r="B217">
        <v>2</v>
      </c>
      <c r="C217">
        <v>36</v>
      </c>
      <c r="D217" t="s">
        <v>441</v>
      </c>
      <c r="E217" t="s">
        <v>442</v>
      </c>
      <c r="F217">
        <v>3</v>
      </c>
      <c r="G217" s="60">
        <v>72.916666666666657</v>
      </c>
      <c r="H217" s="60">
        <v>58.639806367989038</v>
      </c>
    </row>
    <row r="218" spans="1:8">
      <c r="A218" t="s">
        <v>338</v>
      </c>
      <c r="B218">
        <v>1</v>
      </c>
      <c r="C218">
        <v>37</v>
      </c>
      <c r="D218" t="s">
        <v>322</v>
      </c>
      <c r="E218" t="s">
        <v>407</v>
      </c>
      <c r="F218">
        <v>1</v>
      </c>
      <c r="G218" s="60">
        <v>18.333333333333329</v>
      </c>
      <c r="H218" s="60">
        <v>25.351759880406242</v>
      </c>
    </row>
    <row r="219" spans="1:8">
      <c r="A219" t="s">
        <v>338</v>
      </c>
      <c r="B219">
        <v>1</v>
      </c>
      <c r="C219">
        <v>37</v>
      </c>
      <c r="D219" t="s">
        <v>322</v>
      </c>
      <c r="E219" t="s">
        <v>407</v>
      </c>
      <c r="F219">
        <v>2</v>
      </c>
      <c r="G219" s="60">
        <v>23.333333333333329</v>
      </c>
      <c r="H219" s="60">
        <v>28.884523682248943</v>
      </c>
    </row>
    <row r="220" spans="1:8">
      <c r="A220" t="s">
        <v>338</v>
      </c>
      <c r="B220">
        <v>1</v>
      </c>
      <c r="C220">
        <v>37</v>
      </c>
      <c r="D220" t="s">
        <v>322</v>
      </c>
      <c r="E220" t="s">
        <v>407</v>
      </c>
      <c r="F220">
        <v>3</v>
      </c>
      <c r="G220" s="60">
        <v>21.666666666666671</v>
      </c>
      <c r="H220" s="60">
        <v>27.740946079469374</v>
      </c>
    </row>
    <row r="221" spans="1:8">
      <c r="A221" t="s">
        <v>339</v>
      </c>
      <c r="B221">
        <v>2</v>
      </c>
      <c r="C221">
        <v>37</v>
      </c>
      <c r="D221" t="s">
        <v>322</v>
      </c>
      <c r="E221" t="s">
        <v>407</v>
      </c>
      <c r="F221">
        <v>1</v>
      </c>
      <c r="G221" s="60">
        <v>56.25</v>
      </c>
      <c r="H221" s="60">
        <v>48.590377890729144</v>
      </c>
    </row>
    <row r="222" spans="1:8">
      <c r="A222" t="s">
        <v>339</v>
      </c>
      <c r="B222">
        <v>2</v>
      </c>
      <c r="C222">
        <v>37</v>
      </c>
      <c r="D222" t="s">
        <v>322</v>
      </c>
      <c r="E222" t="s">
        <v>407</v>
      </c>
      <c r="F222">
        <v>2</v>
      </c>
      <c r="G222" s="60">
        <v>54.54545454545454</v>
      </c>
      <c r="H222" s="60">
        <v>47.607954285227066</v>
      </c>
    </row>
    <row r="223" spans="1:8">
      <c r="A223" t="s">
        <v>339</v>
      </c>
      <c r="B223">
        <v>2</v>
      </c>
      <c r="C223">
        <v>37</v>
      </c>
      <c r="D223" t="s">
        <v>322</v>
      </c>
      <c r="E223" t="s">
        <v>407</v>
      </c>
      <c r="F223">
        <v>3</v>
      </c>
      <c r="G223" s="60">
        <v>50</v>
      </c>
      <c r="H223" s="60">
        <v>45.000000000000007</v>
      </c>
    </row>
    <row r="224" spans="1:8">
      <c r="A224" t="s">
        <v>338</v>
      </c>
      <c r="B224">
        <v>1</v>
      </c>
      <c r="C224">
        <v>38</v>
      </c>
      <c r="D224" t="s">
        <v>443</v>
      </c>
      <c r="E224" t="s">
        <v>393</v>
      </c>
      <c r="F224">
        <v>1</v>
      </c>
      <c r="G224" s="60">
        <v>50</v>
      </c>
      <c r="H224" s="60">
        <v>45.000000000000007</v>
      </c>
    </row>
    <row r="225" spans="1:8">
      <c r="A225" t="s">
        <v>338</v>
      </c>
      <c r="B225">
        <v>1</v>
      </c>
      <c r="C225">
        <v>38</v>
      </c>
      <c r="D225" t="s">
        <v>443</v>
      </c>
      <c r="E225" t="s">
        <v>393</v>
      </c>
      <c r="F225">
        <v>2</v>
      </c>
      <c r="G225" s="60">
        <v>45</v>
      </c>
      <c r="H225" s="60">
        <v>42.130414761366609</v>
      </c>
    </row>
    <row r="226" spans="1:8">
      <c r="A226" t="s">
        <v>338</v>
      </c>
      <c r="B226">
        <v>1</v>
      </c>
      <c r="C226">
        <v>38</v>
      </c>
      <c r="D226" t="s">
        <v>443</v>
      </c>
      <c r="E226" t="s">
        <v>393</v>
      </c>
      <c r="F226">
        <v>3</v>
      </c>
      <c r="G226" s="60">
        <v>42.857142857142847</v>
      </c>
      <c r="H226" s="60">
        <v>40.893394649130911</v>
      </c>
    </row>
    <row r="227" spans="1:8">
      <c r="A227" t="s">
        <v>339</v>
      </c>
      <c r="B227">
        <v>2</v>
      </c>
      <c r="C227">
        <v>38</v>
      </c>
      <c r="D227" t="s">
        <v>443</v>
      </c>
      <c r="E227" t="s">
        <v>393</v>
      </c>
      <c r="F227">
        <v>1</v>
      </c>
      <c r="G227" s="60">
        <v>52.272727272727273</v>
      </c>
      <c r="H227" s="60">
        <v>46.302625632528645</v>
      </c>
    </row>
    <row r="228" spans="1:8">
      <c r="A228" t="s">
        <v>339</v>
      </c>
      <c r="B228">
        <v>2</v>
      </c>
      <c r="C228">
        <v>38</v>
      </c>
      <c r="D228" t="s">
        <v>443</v>
      </c>
      <c r="E228" t="s">
        <v>393</v>
      </c>
      <c r="F228">
        <v>2</v>
      </c>
      <c r="G228" s="60">
        <v>56.25</v>
      </c>
      <c r="H228" s="60">
        <v>48.590377890729144</v>
      </c>
    </row>
    <row r="229" spans="1:8">
      <c r="A229" t="s">
        <v>339</v>
      </c>
      <c r="B229">
        <v>2</v>
      </c>
      <c r="C229">
        <v>38</v>
      </c>
      <c r="D229" t="s">
        <v>443</v>
      </c>
      <c r="E229" t="s">
        <v>393</v>
      </c>
      <c r="F229">
        <v>3</v>
      </c>
      <c r="G229" s="60">
        <v>50</v>
      </c>
      <c r="H229" s="60">
        <v>45.000000000000007</v>
      </c>
    </row>
    <row r="230" spans="1:8">
      <c r="A230" t="s">
        <v>338</v>
      </c>
      <c r="B230">
        <v>1</v>
      </c>
      <c r="C230">
        <v>39</v>
      </c>
      <c r="D230" t="s">
        <v>444</v>
      </c>
      <c r="E230" t="s">
        <v>396</v>
      </c>
      <c r="F230">
        <v>1</v>
      </c>
      <c r="G230" s="60">
        <v>55.000000000000007</v>
      </c>
      <c r="H230" s="60">
        <v>47.869585238633384</v>
      </c>
    </row>
    <row r="231" spans="1:8">
      <c r="A231" t="s">
        <v>338</v>
      </c>
      <c r="B231">
        <v>1</v>
      </c>
      <c r="C231">
        <v>39</v>
      </c>
      <c r="D231" t="s">
        <v>444</v>
      </c>
      <c r="E231" t="s">
        <v>396</v>
      </c>
      <c r="F231">
        <v>2</v>
      </c>
      <c r="G231" s="60">
        <v>58.333333333333343</v>
      </c>
      <c r="H231" s="60">
        <v>49.797034113430229</v>
      </c>
    </row>
    <row r="232" spans="1:8">
      <c r="A232" t="s">
        <v>338</v>
      </c>
      <c r="B232">
        <v>1</v>
      </c>
      <c r="C232">
        <v>39</v>
      </c>
      <c r="D232" t="s">
        <v>444</v>
      </c>
      <c r="E232" t="s">
        <v>396</v>
      </c>
      <c r="F232">
        <v>3</v>
      </c>
      <c r="G232" s="60">
        <v>56.666666666666657</v>
      </c>
      <c r="H232" s="60">
        <v>48.831127830383025</v>
      </c>
    </row>
    <row r="233" spans="1:8">
      <c r="A233" t="s">
        <v>339</v>
      </c>
      <c r="B233">
        <v>2</v>
      </c>
      <c r="C233">
        <v>39</v>
      </c>
      <c r="D233" t="s">
        <v>444</v>
      </c>
      <c r="E233" t="s">
        <v>396</v>
      </c>
      <c r="F233">
        <v>1</v>
      </c>
      <c r="G233" s="60">
        <v>70.833333333333343</v>
      </c>
      <c r="H233" s="60">
        <v>57.312159176082048</v>
      </c>
    </row>
    <row r="234" spans="1:8">
      <c r="A234" t="s">
        <v>339</v>
      </c>
      <c r="B234">
        <v>2</v>
      </c>
      <c r="C234">
        <v>39</v>
      </c>
      <c r="D234" t="s">
        <v>444</v>
      </c>
      <c r="E234" t="s">
        <v>396</v>
      </c>
      <c r="F234">
        <v>2</v>
      </c>
      <c r="G234" s="60">
        <v>72.916666666666657</v>
      </c>
      <c r="H234" s="60">
        <v>58.639806367989038</v>
      </c>
    </row>
    <row r="235" spans="1:8">
      <c r="A235" t="s">
        <v>339</v>
      </c>
      <c r="B235">
        <v>2</v>
      </c>
      <c r="C235">
        <v>39</v>
      </c>
      <c r="D235" t="s">
        <v>444</v>
      </c>
      <c r="E235" t="s">
        <v>396</v>
      </c>
      <c r="F235">
        <v>3</v>
      </c>
      <c r="G235" s="60">
        <v>77.272727272727266</v>
      </c>
      <c r="H235" s="60">
        <v>61.527865575427001</v>
      </c>
    </row>
    <row r="236" spans="1:8">
      <c r="A236" t="s">
        <v>338</v>
      </c>
      <c r="B236">
        <v>1</v>
      </c>
      <c r="C236">
        <v>40</v>
      </c>
      <c r="D236" t="s">
        <v>445</v>
      </c>
      <c r="E236" t="s">
        <v>446</v>
      </c>
      <c r="F236">
        <v>1</v>
      </c>
      <c r="G236" s="60">
        <v>61.666666666666671</v>
      </c>
      <c r="H236" s="60">
        <v>51.746699410775847</v>
      </c>
    </row>
    <row r="237" spans="1:8">
      <c r="A237" t="s">
        <v>338</v>
      </c>
      <c r="B237">
        <v>1</v>
      </c>
      <c r="C237">
        <v>40</v>
      </c>
      <c r="D237" t="s">
        <v>445</v>
      </c>
      <c r="E237" t="s">
        <v>446</v>
      </c>
      <c r="F237">
        <v>2</v>
      </c>
      <c r="G237" s="60">
        <v>73.333333333333329</v>
      </c>
      <c r="H237" s="60">
        <v>58.909069642326962</v>
      </c>
    </row>
    <row r="238" spans="1:8">
      <c r="A238" t="s">
        <v>338</v>
      </c>
      <c r="B238">
        <v>1</v>
      </c>
      <c r="C238">
        <v>40</v>
      </c>
      <c r="D238" t="s">
        <v>445</v>
      </c>
      <c r="E238" t="s">
        <v>446</v>
      </c>
      <c r="F238">
        <v>3</v>
      </c>
      <c r="G238" s="60">
        <v>65</v>
      </c>
      <c r="H238" s="60">
        <v>53.728801561861061</v>
      </c>
    </row>
    <row r="239" spans="1:8">
      <c r="A239" t="s">
        <v>339</v>
      </c>
      <c r="B239">
        <v>2</v>
      </c>
      <c r="C239">
        <v>40</v>
      </c>
      <c r="D239" t="s">
        <v>445</v>
      </c>
      <c r="E239" t="s">
        <v>446</v>
      </c>
      <c r="F239">
        <v>1</v>
      </c>
      <c r="G239" s="60">
        <v>70.833333333333343</v>
      </c>
      <c r="H239" s="60">
        <v>57.312159176082048</v>
      </c>
    </row>
    <row r="240" spans="1:8">
      <c r="A240" t="s">
        <v>339</v>
      </c>
      <c r="B240">
        <v>2</v>
      </c>
      <c r="C240">
        <v>40</v>
      </c>
      <c r="D240" t="s">
        <v>445</v>
      </c>
      <c r="E240" t="s">
        <v>446</v>
      </c>
      <c r="F240">
        <v>2</v>
      </c>
      <c r="G240" s="60">
        <v>72.916666666666657</v>
      </c>
      <c r="H240" s="60">
        <v>58.639806367989038</v>
      </c>
    </row>
    <row r="241" spans="1:8">
      <c r="A241" t="s">
        <v>339</v>
      </c>
      <c r="B241">
        <v>2</v>
      </c>
      <c r="C241">
        <v>40</v>
      </c>
      <c r="D241" t="s">
        <v>445</v>
      </c>
      <c r="E241" t="s">
        <v>446</v>
      </c>
      <c r="F241">
        <v>3</v>
      </c>
      <c r="G241" s="60">
        <v>52.083333333333343</v>
      </c>
      <c r="H241" s="60">
        <v>46.1940077316344</v>
      </c>
    </row>
    <row r="242" spans="1:8">
      <c r="A242" t="s">
        <v>338</v>
      </c>
      <c r="D242" t="s">
        <v>325</v>
      </c>
      <c r="E242" t="s">
        <v>325</v>
      </c>
      <c r="F242">
        <v>1</v>
      </c>
      <c r="G242">
        <v>0</v>
      </c>
    </row>
    <row r="243" spans="1:8">
      <c r="A243" t="s">
        <v>338</v>
      </c>
      <c r="D243" t="s">
        <v>325</v>
      </c>
      <c r="E243" t="s">
        <v>325</v>
      </c>
      <c r="F243">
        <v>2</v>
      </c>
      <c r="G243">
        <v>0</v>
      </c>
    </row>
    <row r="244" spans="1:8">
      <c r="A244" t="s">
        <v>338</v>
      </c>
      <c r="D244" t="s">
        <v>325</v>
      </c>
      <c r="E244" t="s">
        <v>325</v>
      </c>
      <c r="F244">
        <v>3</v>
      </c>
      <c r="G244">
        <v>0</v>
      </c>
    </row>
    <row r="245" spans="1:8">
      <c r="A245" t="s">
        <v>339</v>
      </c>
      <c r="D245" t="s">
        <v>325</v>
      </c>
      <c r="E245" t="s">
        <v>325</v>
      </c>
      <c r="F245">
        <v>1</v>
      </c>
      <c r="G245">
        <v>0</v>
      </c>
    </row>
    <row r="246" spans="1:8">
      <c r="A246" t="s">
        <v>339</v>
      </c>
      <c r="D246" t="s">
        <v>325</v>
      </c>
      <c r="E246" t="s">
        <v>325</v>
      </c>
      <c r="F246">
        <v>2</v>
      </c>
      <c r="G246">
        <v>0</v>
      </c>
    </row>
    <row r="247" spans="1:8">
      <c r="A247" t="s">
        <v>339</v>
      </c>
      <c r="D247" t="s">
        <v>325</v>
      </c>
      <c r="E247" t="s">
        <v>325</v>
      </c>
      <c r="F247">
        <v>3</v>
      </c>
      <c r="G247">
        <v>0</v>
      </c>
    </row>
    <row r="248" spans="1:8">
      <c r="A248" t="s">
        <v>338</v>
      </c>
      <c r="D248" t="s">
        <v>324</v>
      </c>
      <c r="E248" t="s">
        <v>324</v>
      </c>
      <c r="F248">
        <v>1</v>
      </c>
      <c r="G248">
        <v>0</v>
      </c>
    </row>
    <row r="249" spans="1:8">
      <c r="A249" t="s">
        <v>338</v>
      </c>
      <c r="D249" t="s">
        <v>324</v>
      </c>
      <c r="E249" t="s">
        <v>324</v>
      </c>
      <c r="F249">
        <v>2</v>
      </c>
      <c r="G249">
        <v>0</v>
      </c>
    </row>
    <row r="250" spans="1:8">
      <c r="A250" t="s">
        <v>338</v>
      </c>
      <c r="D250" t="s">
        <v>324</v>
      </c>
      <c r="E250" t="s">
        <v>324</v>
      </c>
      <c r="F250">
        <v>3</v>
      </c>
      <c r="G250">
        <v>0</v>
      </c>
    </row>
    <row r="251" spans="1:8">
      <c r="A251" t="s">
        <v>339</v>
      </c>
      <c r="D251" t="s">
        <v>324</v>
      </c>
      <c r="E251" t="s">
        <v>324</v>
      </c>
      <c r="F251">
        <v>1</v>
      </c>
      <c r="G251">
        <v>0</v>
      </c>
    </row>
    <row r="252" spans="1:8">
      <c r="A252" t="s">
        <v>339</v>
      </c>
      <c r="D252" t="s">
        <v>324</v>
      </c>
      <c r="E252" t="s">
        <v>324</v>
      </c>
      <c r="F252">
        <v>2</v>
      </c>
      <c r="G252">
        <v>0</v>
      </c>
    </row>
    <row r="253" spans="1:8">
      <c r="A253" t="s">
        <v>339</v>
      </c>
      <c r="D253" t="s">
        <v>324</v>
      </c>
      <c r="E253" t="s">
        <v>324</v>
      </c>
      <c r="F253">
        <v>3</v>
      </c>
      <c r="G25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6"/>
  <sheetViews>
    <sheetView workbookViewId="0">
      <selection activeCell="B10" sqref="B10"/>
    </sheetView>
  </sheetViews>
  <sheetFormatPr defaultRowHeight="15"/>
  <sheetData>
    <row r="4" spans="2:3">
      <c r="B4" s="52"/>
      <c r="C4" t="s">
        <v>317</v>
      </c>
    </row>
    <row r="5" spans="2:3">
      <c r="B5" s="53"/>
      <c r="C5" t="s">
        <v>318</v>
      </c>
    </row>
    <row r="6" spans="2:3">
      <c r="B6" s="54"/>
      <c r="C6" t="s">
        <v>319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4f7d74-81ff-44a9-b588-6682acc85779}" enabled="0" method="" siteId="{b94f7d74-81ff-44a9-b588-6682acc857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aree</vt:lpstr>
      <vt:lpstr>quantifiche</vt:lpstr>
      <vt:lpstr>nt per ogni group</vt:lpstr>
      <vt:lpstr> SEV + CHEM COMPLETO</vt:lpstr>
      <vt:lpstr>Foglio1</vt:lpstr>
      <vt:lpstr>legenda chem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D'Intino</dc:creator>
  <cp:keywords/>
  <dc:description/>
  <cp:lastModifiedBy>Chiapparoli Lorenzo (Consulente)</cp:lastModifiedBy>
  <cp:revision/>
  <dcterms:created xsi:type="dcterms:W3CDTF">2025-10-03T12:56:06Z</dcterms:created>
  <dcterms:modified xsi:type="dcterms:W3CDTF">2026-04-22T08:15:14Z</dcterms:modified>
  <cp:category/>
  <cp:contentStatus/>
</cp:coreProperties>
</file>