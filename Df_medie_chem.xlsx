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ocuments\Dataset_completo\"/>
    </mc:Choice>
  </mc:AlternateContent>
  <xr:revisionPtr revIDLastSave="0" documentId="13_ncr:1_{F7F3F148-4DDB-484C-9806-B1874DCA9BD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hem_media" sheetId="1" r:id="rId1"/>
    <sheet name="fit" sheetId="2" r:id="rId2"/>
    <sheet name="Foglio2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5" l="1"/>
  <c r="K38" i="5"/>
  <c r="J38" i="5"/>
  <c r="I38" i="5"/>
  <c r="H38" i="5"/>
  <c r="M37" i="5"/>
  <c r="K37" i="5"/>
  <c r="J37" i="5"/>
  <c r="I37" i="5"/>
  <c r="H37" i="5"/>
  <c r="M36" i="5"/>
  <c r="K36" i="5"/>
  <c r="J36" i="5"/>
  <c r="I36" i="5"/>
  <c r="H36" i="5"/>
  <c r="M35" i="5"/>
  <c r="K35" i="5"/>
  <c r="J35" i="5"/>
  <c r="I35" i="5"/>
  <c r="H35" i="5"/>
  <c r="M34" i="5"/>
  <c r="K34" i="5"/>
  <c r="J34" i="5"/>
  <c r="I34" i="5"/>
  <c r="H34" i="5"/>
  <c r="M33" i="5"/>
  <c r="K33" i="5"/>
  <c r="J33" i="5"/>
  <c r="I33" i="5"/>
  <c r="H33" i="5"/>
  <c r="M32" i="5"/>
  <c r="K32" i="5"/>
  <c r="J32" i="5"/>
  <c r="I32" i="5"/>
  <c r="H32" i="5"/>
  <c r="M31" i="5"/>
  <c r="K31" i="5"/>
  <c r="J31" i="5"/>
  <c r="I31" i="5"/>
  <c r="H31" i="5"/>
  <c r="M30" i="5"/>
  <c r="K30" i="5"/>
  <c r="J30" i="5"/>
  <c r="I30" i="5"/>
  <c r="H30" i="5"/>
  <c r="M29" i="5"/>
  <c r="K29" i="5"/>
  <c r="J29" i="5"/>
  <c r="I29" i="5"/>
  <c r="H29" i="5"/>
  <c r="M28" i="5"/>
  <c r="K28" i="5"/>
  <c r="J28" i="5"/>
  <c r="I28" i="5"/>
  <c r="H28" i="5"/>
  <c r="M27" i="5"/>
  <c r="K27" i="5"/>
  <c r="J27" i="5"/>
  <c r="I27" i="5"/>
  <c r="H27" i="5"/>
  <c r="M26" i="5"/>
  <c r="K26" i="5"/>
  <c r="J26" i="5"/>
  <c r="I26" i="5"/>
  <c r="H26" i="5"/>
  <c r="M25" i="5"/>
  <c r="K25" i="5"/>
  <c r="J25" i="5"/>
  <c r="I25" i="5"/>
  <c r="H25" i="5"/>
  <c r="M24" i="5"/>
  <c r="K24" i="5"/>
  <c r="J24" i="5"/>
  <c r="I24" i="5"/>
  <c r="H24" i="5"/>
  <c r="M23" i="5"/>
  <c r="K23" i="5"/>
  <c r="J23" i="5"/>
  <c r="I23" i="5"/>
  <c r="H23" i="5"/>
  <c r="M22" i="5"/>
  <c r="K22" i="5"/>
  <c r="J22" i="5"/>
  <c r="I22" i="5"/>
  <c r="H22" i="5"/>
  <c r="M21" i="5"/>
  <c r="K21" i="5"/>
  <c r="J21" i="5"/>
  <c r="I21" i="5"/>
  <c r="H21" i="5"/>
  <c r="M20" i="5"/>
  <c r="K20" i="5"/>
  <c r="J20" i="5"/>
  <c r="I20" i="5"/>
  <c r="H20" i="5"/>
  <c r="M19" i="5"/>
  <c r="K19" i="5"/>
  <c r="J19" i="5"/>
  <c r="I19" i="5"/>
  <c r="H19" i="5"/>
  <c r="M18" i="5"/>
  <c r="K18" i="5"/>
  <c r="J18" i="5"/>
  <c r="I18" i="5"/>
  <c r="H18" i="5"/>
  <c r="M17" i="5"/>
  <c r="K17" i="5"/>
  <c r="J17" i="5"/>
  <c r="I17" i="5"/>
  <c r="H17" i="5"/>
  <c r="M16" i="5"/>
  <c r="K16" i="5"/>
  <c r="J16" i="5"/>
  <c r="I16" i="5"/>
  <c r="H16" i="5"/>
  <c r="M15" i="5"/>
  <c r="K15" i="5"/>
  <c r="J15" i="5"/>
  <c r="I15" i="5"/>
  <c r="H15" i="5"/>
  <c r="M14" i="5"/>
  <c r="K14" i="5"/>
  <c r="J14" i="5"/>
  <c r="I14" i="5"/>
  <c r="H14" i="5"/>
  <c r="M13" i="5"/>
  <c r="K13" i="5"/>
  <c r="J13" i="5"/>
  <c r="I13" i="5"/>
  <c r="H13" i="5"/>
  <c r="M12" i="5"/>
  <c r="K12" i="5"/>
  <c r="J12" i="5"/>
  <c r="I12" i="5"/>
  <c r="H12" i="5"/>
  <c r="M11" i="5"/>
  <c r="K11" i="5"/>
  <c r="J11" i="5"/>
  <c r="I11" i="5"/>
  <c r="H11" i="5"/>
  <c r="M10" i="5"/>
  <c r="K10" i="5"/>
  <c r="J10" i="5"/>
  <c r="I10" i="5"/>
  <c r="H10" i="5"/>
  <c r="M9" i="5"/>
  <c r="K9" i="5"/>
  <c r="J9" i="5"/>
  <c r="I9" i="5"/>
  <c r="H9" i="5"/>
  <c r="M8" i="5"/>
  <c r="K8" i="5"/>
  <c r="J8" i="5"/>
  <c r="I8" i="5"/>
  <c r="H8" i="5"/>
  <c r="M7" i="5"/>
  <c r="K7" i="5"/>
  <c r="J7" i="5"/>
  <c r="I7" i="5"/>
  <c r="H7" i="5"/>
  <c r="M6" i="5"/>
  <c r="K6" i="5"/>
  <c r="J6" i="5"/>
  <c r="I6" i="5"/>
  <c r="H6" i="5"/>
  <c r="M5" i="5"/>
  <c r="K5" i="5"/>
  <c r="J5" i="5"/>
  <c r="I5" i="5"/>
  <c r="H5" i="5"/>
  <c r="M4" i="5"/>
  <c r="K4" i="5"/>
  <c r="J4" i="5"/>
  <c r="I4" i="5"/>
  <c r="H4" i="5"/>
  <c r="M3" i="5"/>
  <c r="K3" i="5"/>
  <c r="J3" i="5"/>
  <c r="I3" i="5"/>
  <c r="H3" i="5"/>
  <c r="M2" i="5"/>
  <c r="K2" i="5"/>
  <c r="J2" i="5"/>
  <c r="I2" i="5"/>
  <c r="H2" i="5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2" i="2"/>
  <c r="M37" i="4" l="1"/>
  <c r="N37" i="4" s="1"/>
  <c r="L37" i="4"/>
  <c r="K37" i="4"/>
  <c r="J37" i="4"/>
  <c r="I37" i="4"/>
  <c r="M36" i="4"/>
  <c r="N36" i="4" s="1"/>
  <c r="L36" i="4"/>
  <c r="K36" i="4"/>
  <c r="J36" i="4"/>
  <c r="I36" i="4"/>
  <c r="M35" i="4"/>
  <c r="N35" i="4" s="1"/>
  <c r="L35" i="4"/>
  <c r="K35" i="4"/>
  <c r="J35" i="4"/>
  <c r="I35" i="4"/>
  <c r="M34" i="4"/>
  <c r="N34" i="4" s="1"/>
  <c r="L34" i="4"/>
  <c r="K34" i="4"/>
  <c r="J34" i="4"/>
  <c r="I34" i="4"/>
  <c r="M33" i="4"/>
  <c r="N33" i="4" s="1"/>
  <c r="L33" i="4"/>
  <c r="K33" i="4"/>
  <c r="J33" i="4"/>
  <c r="I33" i="4"/>
  <c r="M32" i="4"/>
  <c r="N32" i="4" s="1"/>
  <c r="L32" i="4"/>
  <c r="K32" i="4"/>
  <c r="J32" i="4"/>
  <c r="I32" i="4"/>
  <c r="M31" i="4"/>
  <c r="N31" i="4" s="1"/>
  <c r="L31" i="4"/>
  <c r="K31" i="4"/>
  <c r="J31" i="4"/>
  <c r="I31" i="4"/>
  <c r="M30" i="4"/>
  <c r="N30" i="4" s="1"/>
  <c r="L30" i="4"/>
  <c r="K30" i="4"/>
  <c r="J30" i="4"/>
  <c r="I30" i="4"/>
  <c r="M29" i="4"/>
  <c r="N29" i="4" s="1"/>
  <c r="L29" i="4"/>
  <c r="K29" i="4"/>
  <c r="J29" i="4"/>
  <c r="I29" i="4"/>
  <c r="M28" i="4"/>
  <c r="N28" i="4" s="1"/>
  <c r="L28" i="4"/>
  <c r="K28" i="4"/>
  <c r="J28" i="4"/>
  <c r="I28" i="4"/>
  <c r="M27" i="4"/>
  <c r="N27" i="4" s="1"/>
  <c r="L27" i="4"/>
  <c r="K27" i="4"/>
  <c r="J27" i="4"/>
  <c r="I27" i="4"/>
  <c r="M26" i="4"/>
  <c r="N26" i="4" s="1"/>
  <c r="L26" i="4"/>
  <c r="K26" i="4"/>
  <c r="J26" i="4"/>
  <c r="I26" i="4"/>
  <c r="M25" i="4"/>
  <c r="N25" i="4" s="1"/>
  <c r="L25" i="4"/>
  <c r="K25" i="4"/>
  <c r="J25" i="4"/>
  <c r="I25" i="4"/>
  <c r="M24" i="4"/>
  <c r="N24" i="4" s="1"/>
  <c r="L24" i="4"/>
  <c r="K24" i="4"/>
  <c r="J24" i="4"/>
  <c r="I24" i="4"/>
  <c r="M23" i="4"/>
  <c r="N23" i="4" s="1"/>
  <c r="L23" i="4"/>
  <c r="K23" i="4"/>
  <c r="J23" i="4"/>
  <c r="I23" i="4"/>
  <c r="M22" i="4"/>
  <c r="N22" i="4" s="1"/>
  <c r="L22" i="4"/>
  <c r="K22" i="4"/>
  <c r="J22" i="4"/>
  <c r="I22" i="4"/>
  <c r="M21" i="4"/>
  <c r="N21" i="4" s="1"/>
  <c r="L21" i="4"/>
  <c r="K21" i="4"/>
  <c r="J21" i="4"/>
  <c r="I21" i="4"/>
  <c r="M20" i="4"/>
  <c r="N20" i="4" s="1"/>
  <c r="L20" i="4"/>
  <c r="K20" i="4"/>
  <c r="J20" i="4"/>
  <c r="I20" i="4"/>
  <c r="M19" i="4"/>
  <c r="N19" i="4" s="1"/>
  <c r="L19" i="4"/>
  <c r="K19" i="4"/>
  <c r="J19" i="4"/>
  <c r="I19" i="4"/>
  <c r="M18" i="4"/>
  <c r="N18" i="4" s="1"/>
  <c r="L18" i="4"/>
  <c r="K18" i="4"/>
  <c r="J18" i="4"/>
  <c r="I18" i="4"/>
  <c r="M17" i="4"/>
  <c r="N17" i="4" s="1"/>
  <c r="L17" i="4"/>
  <c r="K17" i="4"/>
  <c r="J17" i="4"/>
  <c r="I17" i="4"/>
  <c r="M16" i="4"/>
  <c r="N16" i="4" s="1"/>
  <c r="L16" i="4"/>
  <c r="K16" i="4"/>
  <c r="J16" i="4"/>
  <c r="I16" i="4"/>
  <c r="M15" i="4"/>
  <c r="N15" i="4" s="1"/>
  <c r="L15" i="4"/>
  <c r="K15" i="4"/>
  <c r="J15" i="4"/>
  <c r="I15" i="4"/>
  <c r="M14" i="4"/>
  <c r="N14" i="4" s="1"/>
  <c r="L14" i="4"/>
  <c r="K14" i="4"/>
  <c r="J14" i="4"/>
  <c r="I14" i="4"/>
  <c r="M13" i="4"/>
  <c r="N13" i="4" s="1"/>
  <c r="L13" i="4"/>
  <c r="K13" i="4"/>
  <c r="J13" i="4"/>
  <c r="I13" i="4"/>
  <c r="M12" i="4"/>
  <c r="N12" i="4" s="1"/>
  <c r="L12" i="4"/>
  <c r="K12" i="4"/>
  <c r="J12" i="4"/>
  <c r="I12" i="4"/>
  <c r="M11" i="4"/>
  <c r="N11" i="4" s="1"/>
  <c r="L11" i="4"/>
  <c r="K11" i="4"/>
  <c r="J11" i="4"/>
  <c r="I11" i="4"/>
  <c r="M10" i="4"/>
  <c r="N10" i="4" s="1"/>
  <c r="L10" i="4"/>
  <c r="K10" i="4"/>
  <c r="J10" i="4"/>
  <c r="I10" i="4"/>
  <c r="M9" i="4"/>
  <c r="N9" i="4" s="1"/>
  <c r="L9" i="4"/>
  <c r="K9" i="4"/>
  <c r="J9" i="4"/>
  <c r="I9" i="4"/>
  <c r="M8" i="4"/>
  <c r="N8" i="4" s="1"/>
  <c r="L8" i="4"/>
  <c r="K8" i="4"/>
  <c r="J8" i="4"/>
  <c r="I8" i="4"/>
  <c r="M7" i="4"/>
  <c r="N7" i="4" s="1"/>
  <c r="L7" i="4"/>
  <c r="K7" i="4"/>
  <c r="J7" i="4"/>
  <c r="I7" i="4"/>
  <c r="M6" i="4"/>
  <c r="N6" i="4" s="1"/>
  <c r="L6" i="4"/>
  <c r="K6" i="4"/>
  <c r="J6" i="4"/>
  <c r="I6" i="4"/>
  <c r="M5" i="4"/>
  <c r="N5" i="4" s="1"/>
  <c r="L5" i="4"/>
  <c r="K5" i="4"/>
  <c r="J5" i="4"/>
  <c r="I5" i="4"/>
  <c r="M4" i="4"/>
  <c r="N4" i="4" s="1"/>
  <c r="L4" i="4"/>
  <c r="K4" i="4"/>
  <c r="J4" i="4"/>
  <c r="I4" i="4"/>
  <c r="M3" i="4"/>
  <c r="N3" i="4" s="1"/>
  <c r="L3" i="4"/>
  <c r="K3" i="4"/>
  <c r="J3" i="4"/>
  <c r="I3" i="4"/>
  <c r="M2" i="4"/>
  <c r="N2" i="4" s="1"/>
  <c r="L2" i="4"/>
  <c r="K2" i="4"/>
  <c r="J2" i="4"/>
  <c r="I2" i="4"/>
  <c r="H3" i="2" l="1"/>
  <c r="I3" i="2"/>
  <c r="J3" i="2"/>
  <c r="K3" i="2"/>
  <c r="H4" i="2"/>
  <c r="I4" i="2"/>
  <c r="J4" i="2"/>
  <c r="K4" i="2"/>
  <c r="H5" i="2"/>
  <c r="I5" i="2"/>
  <c r="J5" i="2"/>
  <c r="K5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I2" i="2"/>
  <c r="J2" i="2"/>
  <c r="K2" i="2"/>
  <c r="H2" i="2"/>
  <c r="N4" i="1" l="1"/>
  <c r="W4" i="1" s="1"/>
  <c r="O4" i="1"/>
  <c r="X4" i="1" s="1"/>
  <c r="P4" i="1"/>
  <c r="Y4" i="1" s="1"/>
  <c r="Q4" i="1"/>
  <c r="Z4" i="1" s="1"/>
  <c r="R4" i="1"/>
  <c r="AA4" i="1" s="1"/>
  <c r="S4" i="1"/>
  <c r="AB4" i="1" s="1"/>
  <c r="T4" i="1"/>
  <c r="AC4" i="1" s="1"/>
  <c r="U4" i="1"/>
  <c r="AD4" i="1" s="1"/>
  <c r="N5" i="1"/>
  <c r="W5" i="1" s="1"/>
  <c r="O5" i="1"/>
  <c r="X5" i="1" s="1"/>
  <c r="P5" i="1"/>
  <c r="Y5" i="1" s="1"/>
  <c r="Q5" i="1"/>
  <c r="Z5" i="1" s="1"/>
  <c r="R5" i="1"/>
  <c r="AA5" i="1" s="1"/>
  <c r="S5" i="1"/>
  <c r="AB5" i="1" s="1"/>
  <c r="T5" i="1"/>
  <c r="AC5" i="1" s="1"/>
  <c r="U5" i="1"/>
  <c r="AD5" i="1" s="1"/>
  <c r="M5" i="1"/>
  <c r="V5" i="1" s="1"/>
  <c r="M4" i="1"/>
  <c r="V4" i="1" s="1"/>
  <c r="U3" i="1"/>
  <c r="AD3" i="1" s="1"/>
  <c r="N3" i="1"/>
  <c r="W3" i="1" s="1"/>
  <c r="O3" i="1"/>
  <c r="X3" i="1" s="1"/>
  <c r="P3" i="1"/>
  <c r="Y3" i="1" s="1"/>
  <c r="Q3" i="1"/>
  <c r="Z3" i="1" s="1"/>
  <c r="R3" i="1"/>
  <c r="AA3" i="1" s="1"/>
  <c r="S3" i="1"/>
  <c r="AB3" i="1" s="1"/>
  <c r="T3" i="1"/>
  <c r="AC3" i="1" s="1"/>
  <c r="M3" i="1"/>
  <c r="V3" i="1" s="1"/>
</calcChain>
</file>

<file path=xl/sharedStrings.xml><?xml version="1.0" encoding="utf-8"?>
<sst xmlns="http://schemas.openxmlformats.org/spreadsheetml/2006/main" count="257" uniqueCount="95">
  <si>
    <t>Micro</t>
  </si>
  <si>
    <t>A. syzygii</t>
  </si>
  <si>
    <t>C. zemplinina</t>
  </si>
  <si>
    <t>C. zemplinina + A. syzygii</t>
  </si>
  <si>
    <t>C. zemplinina + G. oxydans</t>
  </si>
  <si>
    <t>C. zemplinina + G. oxydans + A. syzygii</t>
  </si>
  <si>
    <t>G. oxydans</t>
  </si>
  <si>
    <t>G. oxydans + A. syzygii</t>
  </si>
  <si>
    <t>H. uvarum</t>
  </si>
  <si>
    <t>H. uvarum + A. syzygii</t>
  </si>
  <si>
    <t>H. uvarum + G. oxydans</t>
  </si>
  <si>
    <t>H. uvarum + G. oxydans + A. syzygii</t>
  </si>
  <si>
    <t>M. pulcherrima</t>
  </si>
  <si>
    <t>M. pulcherrima + A. syzygii</t>
  </si>
  <si>
    <t>M. pulcherrima + G. oxydans</t>
  </si>
  <si>
    <t>M. pulcherrima + G. oxydans + A. syzygii</t>
  </si>
  <si>
    <t>NT (bacche non ferite)</t>
  </si>
  <si>
    <t>P. occidentalis</t>
  </si>
  <si>
    <t>P. occidentalis + A. syzygii</t>
  </si>
  <si>
    <t>P. occidentalis + G. oxydans</t>
  </si>
  <si>
    <t>P. occidentalis + G. oxydans + A. syzygii</t>
  </si>
  <si>
    <t>P. terricola</t>
  </si>
  <si>
    <t>P. terricola + A. syzygii</t>
  </si>
  <si>
    <t>P. terricola + G. oxydans</t>
  </si>
  <si>
    <t>P. terricola + G. oxydans + A. syzygii</t>
  </si>
  <si>
    <t>S. vini</t>
  </si>
  <si>
    <t>S. vini + A. syzygii</t>
  </si>
  <si>
    <t>S. vini + G. oxydans</t>
  </si>
  <si>
    <t>S. vini + G. oxydans + A. syzygii</t>
  </si>
  <si>
    <t>T. delbrueckii</t>
  </si>
  <si>
    <t>T. delbrueckii + A. syzygii</t>
  </si>
  <si>
    <t>T. delbrueckii + G. oxydans</t>
  </si>
  <si>
    <t>T. delbrueckii + G. oxydans + A. syzygii</t>
  </si>
  <si>
    <t>Z. bailii</t>
  </si>
  <si>
    <t>Z. bailii + A. syzygii</t>
  </si>
  <si>
    <t>Z. bailii + G. oxydans</t>
  </si>
  <si>
    <t>Z. bailii + G. oxydans + A. syzygii</t>
  </si>
  <si>
    <t>Z. hellenicus</t>
  </si>
  <si>
    <t>Z. hellenicus + A. syzygii</t>
  </si>
  <si>
    <t>Z. hellenicus + G. oxydans</t>
  </si>
  <si>
    <t>Z. hellenicus + G. oxydans + A. syzygii</t>
  </si>
  <si>
    <t>Gluconic</t>
  </si>
  <si>
    <t>Acetic</t>
  </si>
  <si>
    <t>G+F</t>
  </si>
  <si>
    <t>EtOH</t>
  </si>
  <si>
    <t>pH</t>
  </si>
  <si>
    <t>Acidità_titolabile</t>
  </si>
  <si>
    <t>Tartaric</t>
  </si>
  <si>
    <t>Malic</t>
  </si>
  <si>
    <t>Citric</t>
  </si>
  <si>
    <t>Mck_day_10</t>
  </si>
  <si>
    <t>Severity 0-40%</t>
  </si>
  <si>
    <t>Severity 40-60%</t>
  </si>
  <si>
    <t>Severity &gt;60%</t>
  </si>
  <si>
    <t>G+F (%)</t>
  </si>
  <si>
    <t>EtOH (%)</t>
  </si>
  <si>
    <t>pH (%)</t>
  </si>
  <si>
    <t>Acidità_titolabile (%)</t>
  </si>
  <si>
    <t>Tartaric (%)</t>
  </si>
  <si>
    <t>Malic (%)</t>
  </si>
  <si>
    <t>Citric (%)</t>
  </si>
  <si>
    <t>Gluconic (%)</t>
  </si>
  <si>
    <t>Acetic (%)</t>
  </si>
  <si>
    <t>G2</t>
  </si>
  <si>
    <t>A2</t>
  </si>
  <si>
    <t>E2</t>
  </si>
  <si>
    <t>Cz</t>
  </si>
  <si>
    <t>Hu</t>
  </si>
  <si>
    <t>Mp</t>
  </si>
  <si>
    <t>Po</t>
  </si>
  <si>
    <t>Pt</t>
  </si>
  <si>
    <t>Sv</t>
  </si>
  <si>
    <t>Td</t>
  </si>
  <si>
    <t>Zb</t>
  </si>
  <si>
    <t>Zh</t>
  </si>
  <si>
    <t>As</t>
  </si>
  <si>
    <t>Go</t>
  </si>
  <si>
    <t>arc_mck_10</t>
  </si>
  <si>
    <t>Sugar</t>
  </si>
  <si>
    <t xml:space="preserve">acidità </t>
  </si>
  <si>
    <t>Acetico</t>
  </si>
  <si>
    <t>S2</t>
  </si>
  <si>
    <t>AcGlu</t>
  </si>
  <si>
    <t>AG2</t>
  </si>
  <si>
    <t xml:space="preserve">C. zemplinina </t>
  </si>
  <si>
    <t xml:space="preserve">H. uvarum </t>
  </si>
  <si>
    <t xml:space="preserve">M. pulcherrima </t>
  </si>
  <si>
    <t xml:space="preserve">P. occidentalis </t>
  </si>
  <si>
    <t xml:space="preserve">P. terricola </t>
  </si>
  <si>
    <t xml:space="preserve">S. vini </t>
  </si>
  <si>
    <t xml:space="preserve">T. delbrueckii </t>
  </si>
  <si>
    <t xml:space="preserve">Z. bailii </t>
  </si>
  <si>
    <t xml:space="preserve">Z. hellenicus </t>
  </si>
  <si>
    <t>SR_severity</t>
  </si>
  <si>
    <t>AC2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</si>
</sst>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1" fontId="0" fillId="0" borderId="0" xfId="0" applyNumberFormat="1"/>
    <xf numFmtId="0" fontId="0" fillId="0" borderId="0" xfId="0" applyAlignment="1">
      <alignment horizontal="center"/>
    </xf>
    <xf numFmtId="0" fontId="0" fillId="5" borderId="0" xfId="0" applyFill="1"/>
    <xf numFmtId="0" fontId="2" fillId="6" borderId="0" xfId="0" applyFont="1" applyFill="1"/>
    <xf numFmtId="0" fontId="2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  <xf numFmtId="2" fontId="0" fillId="9" borderId="0" xfId="0" applyNumberFormat="1" applyFill="1"/>
    <xf numFmtId="2" fontId="2" fillId="9" borderId="0" xfId="0" applyNumberFormat="1" applyFont="1" applyFill="1"/>
    <xf numFmtId="164" fontId="0" fillId="9" borderId="0" xfId="0" applyNumberFormat="1" applyFill="1"/>
    <xf numFmtId="164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"/>
  <sheetViews>
    <sheetView topLeftCell="B1" zoomScale="70" zoomScaleNormal="70" workbookViewId="0">
      <selection activeCell="L6" sqref="L6"/>
    </sheetView>
  </sheetViews>
  <sheetFormatPr defaultRowHeight="14.4" x14ac:dyDescent="0.3"/>
  <cols>
    <col min="1" max="1" width="36.6640625" bestFit="1" customWidth="1"/>
    <col min="2" max="2" width="15" bestFit="1" customWidth="1"/>
    <col min="3" max="3" width="12.5546875" bestFit="1" customWidth="1"/>
    <col min="4" max="4" width="14.6640625" bestFit="1" customWidth="1"/>
    <col min="5" max="6" width="12.5546875" bestFit="1" customWidth="1"/>
    <col min="7" max="7" width="22.6640625" bestFit="1" customWidth="1"/>
    <col min="8" max="9" width="13.6640625" bestFit="1" customWidth="1"/>
    <col min="10" max="10" width="11.88671875" bestFit="1" customWidth="1"/>
    <col min="11" max="11" width="18.109375" bestFit="1" customWidth="1"/>
    <col min="12" max="12" width="21" bestFit="1" customWidth="1"/>
    <col min="15" max="15" width="9.44140625" bestFit="1" customWidth="1"/>
    <col min="17" max="17" width="8.33203125" customWidth="1"/>
    <col min="18" max="18" width="15.33203125" bestFit="1" customWidth="1"/>
    <col min="22" max="22" width="16.44140625" bestFit="1" customWidth="1"/>
    <col min="23" max="23" width="13.44140625" bestFit="1" customWidth="1"/>
    <col min="24" max="24" width="10.6640625" bestFit="1" customWidth="1"/>
    <col min="25" max="25" width="11.6640625" bestFit="1" customWidth="1"/>
    <col min="26" max="26" width="9.109375" bestFit="1" customWidth="1"/>
    <col min="27" max="27" width="25.44140625" bestFit="1" customWidth="1"/>
    <col min="28" max="28" width="14.88671875" bestFit="1" customWidth="1"/>
    <col min="29" max="30" width="12" bestFit="1" customWidth="1"/>
  </cols>
  <sheetData>
    <row r="1" spans="1:30" s="1" customFormat="1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61</v>
      </c>
      <c r="W1" s="1" t="s">
        <v>62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</row>
    <row r="2" spans="1:30" x14ac:dyDescent="0.3">
      <c r="A2" t="s">
        <v>16</v>
      </c>
      <c r="B2" s="2">
        <v>1.666666666666667E-3</v>
      </c>
      <c r="C2" s="2">
        <v>0.37666666666666659</v>
      </c>
      <c r="D2" s="2">
        <v>221.4</v>
      </c>
      <c r="E2" s="2">
        <v>3.3333333333333333E-2</v>
      </c>
      <c r="F2" s="2">
        <v>3.8533333333333331</v>
      </c>
      <c r="G2" s="2">
        <v>2.004666666666667</v>
      </c>
      <c r="H2" s="2">
        <v>2.254123852004299</v>
      </c>
      <c r="I2" s="2">
        <v>3.8035314718838071</v>
      </c>
      <c r="J2" s="2">
        <v>0.37036469037131331</v>
      </c>
      <c r="K2" s="2">
        <v>0</v>
      </c>
      <c r="L2" t="s">
        <v>16</v>
      </c>
      <c r="M2" s="2">
        <v>1.666666666666667E-3</v>
      </c>
      <c r="N2" s="2">
        <v>0.37666666666666659</v>
      </c>
      <c r="O2" s="2">
        <v>221.4</v>
      </c>
      <c r="P2" s="2">
        <v>3.3333333333333333E-2</v>
      </c>
      <c r="Q2" s="2">
        <v>3.8533333333333331</v>
      </c>
      <c r="R2" s="2">
        <v>2.004666666666667</v>
      </c>
      <c r="S2" s="2">
        <v>2.254123852004299</v>
      </c>
      <c r="T2" s="2">
        <v>3.8035314718838071</v>
      </c>
      <c r="U2" s="2">
        <v>0.37036469037131331</v>
      </c>
      <c r="V2" s="2"/>
    </row>
    <row r="3" spans="1:30" x14ac:dyDescent="0.3">
      <c r="A3" s="3" t="s">
        <v>2</v>
      </c>
      <c r="B3" s="4">
        <v>3.333333333333334E-3</v>
      </c>
      <c r="C3" s="4">
        <v>0.26833333333333331</v>
      </c>
      <c r="D3" s="4">
        <v>199.15</v>
      </c>
      <c r="E3" s="4">
        <v>0.34666666666666668</v>
      </c>
      <c r="F3" s="4">
        <v>4.3949999999999996</v>
      </c>
      <c r="G3" s="4">
        <v>2.3210000000000002</v>
      </c>
      <c r="H3" s="4">
        <v>2.5689141813722891</v>
      </c>
      <c r="I3" s="4">
        <v>3.558144324399704</v>
      </c>
      <c r="J3" s="4">
        <v>0.37672176776819599</v>
      </c>
      <c r="K3" s="4">
        <v>16.18055555555555</v>
      </c>
      <c r="L3" t="s">
        <v>51</v>
      </c>
      <c r="M3" s="2">
        <f t="shared" ref="M3:U3" si="0">AVERAGE(B3:B7)</f>
        <v>0.54333333333333322</v>
      </c>
      <c r="N3" s="2">
        <f t="shared" si="0"/>
        <v>0.41666666666666669</v>
      </c>
      <c r="O3" s="2">
        <f t="shared" si="0"/>
        <v>187.17333333333335</v>
      </c>
      <c r="P3" s="2">
        <f t="shared" si="0"/>
        <v>0.50800000000000001</v>
      </c>
      <c r="Q3" s="2">
        <f t="shared" si="0"/>
        <v>3.7826666666666662</v>
      </c>
      <c r="R3" s="2">
        <f t="shared" si="0"/>
        <v>2.6492666666666667</v>
      </c>
      <c r="S3" s="2">
        <f t="shared" si="0"/>
        <v>2.8154977796551748</v>
      </c>
      <c r="T3" s="2">
        <f t="shared" si="0"/>
        <v>3.3951718675941622</v>
      </c>
      <c r="U3" s="2">
        <f t="shared" si="0"/>
        <v>0.41692740450523924</v>
      </c>
      <c r="V3" s="9">
        <f t="shared" ref="V3:W5" si="1">(M3-M$2)/M$2*100</f>
        <v>32499.999999999982</v>
      </c>
      <c r="W3" s="9">
        <f t="shared" si="1"/>
        <v>10.619469026548698</v>
      </c>
      <c r="X3" s="9">
        <f t="shared" ref="X3:AD5" si="2">(O3-O$2)/O$2*100</f>
        <v>-15.459199036434807</v>
      </c>
      <c r="Y3" s="9">
        <f t="shared" si="2"/>
        <v>1424</v>
      </c>
      <c r="Z3" s="9">
        <f t="shared" si="2"/>
        <v>-1.8339100346020816</v>
      </c>
      <c r="AA3" s="9">
        <f t="shared" si="2"/>
        <v>32.154971732623856</v>
      </c>
      <c r="AB3" s="9">
        <f t="shared" si="2"/>
        <v>24.904307150280097</v>
      </c>
      <c r="AC3" s="9">
        <f t="shared" si="2"/>
        <v>-10.736327734062186</v>
      </c>
      <c r="AD3" s="9">
        <f t="shared" si="2"/>
        <v>12.572125622246535</v>
      </c>
    </row>
    <row r="4" spans="1:30" x14ac:dyDescent="0.3">
      <c r="A4" s="3" t="s">
        <v>12</v>
      </c>
      <c r="B4" s="4">
        <v>1.666666666666667E-3</v>
      </c>
      <c r="C4" s="4">
        <v>0.2466666666666667</v>
      </c>
      <c r="D4" s="4">
        <v>185.2</v>
      </c>
      <c r="E4" s="4">
        <v>0.69333333333333336</v>
      </c>
      <c r="F4" s="4">
        <v>3.833333333333333</v>
      </c>
      <c r="G4" s="4">
        <v>2.2000000000000002</v>
      </c>
      <c r="H4" s="4">
        <v>2.636725414542604</v>
      </c>
      <c r="I4" s="4">
        <v>3.5227751364378861</v>
      </c>
      <c r="J4" s="4">
        <v>0.36110467716664152</v>
      </c>
      <c r="K4" s="4">
        <v>18.611111111111111</v>
      </c>
      <c r="L4" t="s">
        <v>52</v>
      </c>
      <c r="M4" s="2">
        <f>AVERAGE(B8:B24)</f>
        <v>1.1142156862745098</v>
      </c>
      <c r="N4" s="2">
        <f t="shared" ref="N4:U4" si="3">AVERAGE(C8:C24)</f>
        <v>2.4101960784313721</v>
      </c>
      <c r="O4" s="2">
        <f t="shared" si="3"/>
        <v>143.61372549019609</v>
      </c>
      <c r="P4" s="2">
        <f t="shared" si="3"/>
        <v>1.1936274509803921</v>
      </c>
      <c r="Q4" s="2">
        <f t="shared" si="3"/>
        <v>3.9039999999999999</v>
      </c>
      <c r="R4" s="2">
        <f t="shared" si="3"/>
        <v>4.4553176470588234</v>
      </c>
      <c r="S4" s="2">
        <f t="shared" si="3"/>
        <v>2.6311416599744133</v>
      </c>
      <c r="T4" s="2">
        <f t="shared" si="3"/>
        <v>2.7769200056893975</v>
      </c>
      <c r="U4" s="2">
        <f t="shared" si="3"/>
        <v>0.39886671482965536</v>
      </c>
      <c r="V4" s="9">
        <f t="shared" si="1"/>
        <v>66752.941176470573</v>
      </c>
      <c r="W4" s="9">
        <f t="shared" si="1"/>
        <v>539.87506507027592</v>
      </c>
      <c r="X4" s="9">
        <f t="shared" si="2"/>
        <v>-35.133818658448021</v>
      </c>
      <c r="Y4" s="9">
        <f t="shared" si="2"/>
        <v>3480.8823529411761</v>
      </c>
      <c r="Z4" s="9">
        <f t="shared" si="2"/>
        <v>1.3148788927335691</v>
      </c>
      <c r="AA4" s="9">
        <f t="shared" si="2"/>
        <v>122.24730530722428</v>
      </c>
      <c r="AB4" s="9">
        <f t="shared" si="2"/>
        <v>16.725691786406564</v>
      </c>
      <c r="AC4" s="9">
        <f t="shared" si="2"/>
        <v>-26.991007535582483</v>
      </c>
      <c r="AD4" s="9">
        <f t="shared" si="2"/>
        <v>7.6956646244454401</v>
      </c>
    </row>
    <row r="5" spans="1:30" x14ac:dyDescent="0.3">
      <c r="A5" s="3" t="s">
        <v>37</v>
      </c>
      <c r="B5" s="4">
        <v>0.1183333333333333</v>
      </c>
      <c r="C5" s="4">
        <v>0.53666666666666663</v>
      </c>
      <c r="D5" s="4">
        <v>182.15</v>
      </c>
      <c r="E5" s="4">
        <v>0</v>
      </c>
      <c r="F5" s="4">
        <v>3.7166666666666668</v>
      </c>
      <c r="G5" s="4">
        <v>2.4148333333333332</v>
      </c>
      <c r="H5" s="4">
        <v>2.7493385822273071</v>
      </c>
      <c r="I5" s="4">
        <v>3.1822352393094882</v>
      </c>
      <c r="J5" s="4">
        <v>0.27432922788608738</v>
      </c>
      <c r="K5" s="4">
        <v>35.902777777777779</v>
      </c>
      <c r="L5" t="s">
        <v>53</v>
      </c>
      <c r="M5" s="2">
        <f>AVERAGE(B25:B41)</f>
        <v>2.0096078431372555</v>
      </c>
      <c r="N5" s="2">
        <f t="shared" ref="N5:U5" si="4">AVERAGE(C25:C41)</f>
        <v>3.3902941176470587</v>
      </c>
      <c r="O5" s="2">
        <f t="shared" si="4"/>
        <v>125.92156862745097</v>
      </c>
      <c r="P5" s="2">
        <f t="shared" si="4"/>
        <v>1.7232352941176472</v>
      </c>
      <c r="Q5" s="2">
        <f t="shared" si="4"/>
        <v>3.9249019607843136</v>
      </c>
      <c r="R5" s="2">
        <f t="shared" si="4"/>
        <v>6.3598627450980381</v>
      </c>
      <c r="S5" s="2">
        <f t="shared" si="4"/>
        <v>3.0335086638777575</v>
      </c>
      <c r="T5" s="2">
        <f t="shared" si="4"/>
        <v>2.5891660385147683</v>
      </c>
      <c r="U5" s="2">
        <f t="shared" si="4"/>
        <v>0.43932487598073056</v>
      </c>
      <c r="V5" s="9">
        <f t="shared" si="1"/>
        <v>120476.47058823532</v>
      </c>
      <c r="W5" s="9">
        <f t="shared" si="1"/>
        <v>800.07808433107766</v>
      </c>
      <c r="X5" s="9">
        <f t="shared" si="2"/>
        <v>-43.124856085162165</v>
      </c>
      <c r="Y5" s="9">
        <f t="shared" si="2"/>
        <v>5069.7058823529414</v>
      </c>
      <c r="Z5" s="9">
        <f t="shared" si="2"/>
        <v>1.8573173213922298</v>
      </c>
      <c r="AA5" s="9">
        <f t="shared" si="2"/>
        <v>217.25288053365665</v>
      </c>
      <c r="AB5" s="9">
        <f t="shared" si="2"/>
        <v>34.575953365670351</v>
      </c>
      <c r="AC5" s="9">
        <f t="shared" si="2"/>
        <v>-31.927313927748042</v>
      </c>
      <c r="AD5" s="9">
        <f t="shared" si="2"/>
        <v>18.61953566369419</v>
      </c>
    </row>
    <row r="6" spans="1:30" x14ac:dyDescent="0.3">
      <c r="A6" s="3" t="s">
        <v>7</v>
      </c>
      <c r="B6" s="4">
        <v>1.2350000000000001</v>
      </c>
      <c r="C6" s="4">
        <v>0.46666666666666667</v>
      </c>
      <c r="D6" s="4">
        <v>186.4666666666667</v>
      </c>
      <c r="E6" s="4">
        <v>0.77500000000000002</v>
      </c>
      <c r="F6" s="4">
        <v>3.4</v>
      </c>
      <c r="G6" s="4">
        <v>3.0558333333333332</v>
      </c>
      <c r="H6" s="4">
        <v>3.1161258623891022</v>
      </c>
      <c r="I6" s="4">
        <v>3.2700182509203861</v>
      </c>
      <c r="J6" s="4">
        <v>0.50993408822552511</v>
      </c>
      <c r="K6" s="4">
        <v>36.597222222222221</v>
      </c>
    </row>
    <row r="7" spans="1:30" x14ac:dyDescent="0.3">
      <c r="A7" s="3" t="s">
        <v>1</v>
      </c>
      <c r="B7" s="4">
        <v>1.3583333333333329</v>
      </c>
      <c r="C7" s="4">
        <v>0.56499999999999995</v>
      </c>
      <c r="D7" s="4">
        <v>182.9</v>
      </c>
      <c r="E7" s="4">
        <v>0.72499999999999998</v>
      </c>
      <c r="F7" s="4">
        <v>3.5683333333333329</v>
      </c>
      <c r="G7" s="4">
        <v>3.254666666666667</v>
      </c>
      <c r="H7" s="4">
        <v>3.0063848577445702</v>
      </c>
      <c r="I7" s="4">
        <v>3.4426863869033468</v>
      </c>
      <c r="J7" s="4">
        <v>0.56254726147974632</v>
      </c>
      <c r="K7" s="4">
        <v>39.583333333333343</v>
      </c>
    </row>
    <row r="8" spans="1:30" x14ac:dyDescent="0.3">
      <c r="A8" s="7" t="s">
        <v>6</v>
      </c>
      <c r="B8" s="8">
        <v>1.34</v>
      </c>
      <c r="C8" s="8">
        <v>0.54333333333333333</v>
      </c>
      <c r="D8" s="8">
        <v>181.68333333333331</v>
      </c>
      <c r="E8" s="8">
        <v>1.031666666666667</v>
      </c>
      <c r="F8" s="8">
        <v>3.3883333333333332</v>
      </c>
      <c r="G8" s="8">
        <v>3.0950000000000002</v>
      </c>
      <c r="H8" s="8">
        <v>3.074784800996313</v>
      </c>
      <c r="I8" s="8">
        <v>3.701369768523517</v>
      </c>
      <c r="J8" s="8">
        <v>0.59159784383591663</v>
      </c>
      <c r="K8" s="8">
        <v>40.972222222222221</v>
      </c>
    </row>
    <row r="9" spans="1:30" x14ac:dyDescent="0.3">
      <c r="A9" s="7" t="s">
        <v>17</v>
      </c>
      <c r="B9" s="8">
        <v>0.01</v>
      </c>
      <c r="C9" s="8">
        <v>0.64166666666666661</v>
      </c>
      <c r="D9" s="8">
        <v>160.66666666666671</v>
      </c>
      <c r="E9" s="8">
        <v>0.1516666666666667</v>
      </c>
      <c r="F9" s="8">
        <v>3.7349999999999999</v>
      </c>
      <c r="G9" s="8">
        <v>2.036</v>
      </c>
      <c r="H9" s="8">
        <v>2.2405418391551462</v>
      </c>
      <c r="I9" s="8">
        <v>2.5434571625090778</v>
      </c>
      <c r="J9" s="8">
        <v>0.21435407388471819</v>
      </c>
      <c r="K9" s="8">
        <v>42.361111111111107</v>
      </c>
    </row>
    <row r="10" spans="1:30" x14ac:dyDescent="0.3">
      <c r="A10" s="7" t="s">
        <v>3</v>
      </c>
      <c r="B10" s="8">
        <v>1.02</v>
      </c>
      <c r="C10" s="8">
        <v>2.6983333333333328</v>
      </c>
      <c r="D10" s="8">
        <v>155.23333333333329</v>
      </c>
      <c r="E10" s="8">
        <v>1.5149999999999999</v>
      </c>
      <c r="F10" s="8">
        <v>4.0380000000000003</v>
      </c>
      <c r="G10" s="8">
        <v>5.6394000000000002</v>
      </c>
      <c r="H10" s="8">
        <v>2.716113156876526</v>
      </c>
      <c r="I10" s="8">
        <v>2.774641567189343</v>
      </c>
      <c r="J10" s="8">
        <v>0.48077899900704107</v>
      </c>
      <c r="K10" s="8">
        <v>44.097222222222221</v>
      </c>
    </row>
    <row r="11" spans="1:30" x14ac:dyDescent="0.3">
      <c r="A11" s="7" t="s">
        <v>29</v>
      </c>
      <c r="B11" s="8">
        <v>2.6666666666666668E-2</v>
      </c>
      <c r="C11" s="8">
        <v>0.61833333333333329</v>
      </c>
      <c r="D11" s="8">
        <v>152.1</v>
      </c>
      <c r="E11" s="8">
        <v>2.2616666666666672</v>
      </c>
      <c r="F11" s="8">
        <v>3.8433333333333328</v>
      </c>
      <c r="G11" s="8">
        <v>2.121666666666667</v>
      </c>
      <c r="H11" s="8">
        <v>1.9020148077349019</v>
      </c>
      <c r="I11" s="8">
        <v>2.826136383176777</v>
      </c>
      <c r="J11" s="8">
        <v>0.25503954996298872</v>
      </c>
      <c r="K11" s="8">
        <v>44.305555555555557</v>
      </c>
    </row>
    <row r="12" spans="1:30" x14ac:dyDescent="0.3">
      <c r="A12" s="7" t="s">
        <v>38</v>
      </c>
      <c r="B12" s="8">
        <v>1.1166666666666669</v>
      </c>
      <c r="C12" s="8">
        <v>3.3583333333333329</v>
      </c>
      <c r="D12" s="8">
        <v>135.3833333333333</v>
      </c>
      <c r="E12" s="8">
        <v>1.5549999999999999</v>
      </c>
      <c r="F12" s="8">
        <v>3.78</v>
      </c>
      <c r="G12" s="8">
        <v>5.2380000000000004</v>
      </c>
      <c r="H12" s="8">
        <v>2.419651604396007</v>
      </c>
      <c r="I12" s="8">
        <v>2.5354572124609782</v>
      </c>
      <c r="J12" s="8">
        <v>0.41859636048406312</v>
      </c>
      <c r="K12" s="8">
        <v>48.194444444444443</v>
      </c>
    </row>
    <row r="13" spans="1:30" x14ac:dyDescent="0.3">
      <c r="A13" s="7" t="s">
        <v>33</v>
      </c>
      <c r="B13" s="8">
        <v>1.666666666666667E-3</v>
      </c>
      <c r="C13" s="8">
        <v>0.68166666666666664</v>
      </c>
      <c r="D13" s="8">
        <v>137.30000000000001</v>
      </c>
      <c r="E13" s="8">
        <v>1.2133333333333329</v>
      </c>
      <c r="F13" s="8">
        <v>3.8050000000000002</v>
      </c>
      <c r="G13" s="8">
        <v>2.2925</v>
      </c>
      <c r="H13" s="8">
        <v>2.1022263699044079</v>
      </c>
      <c r="I13" s="8">
        <v>2.6607218821136112</v>
      </c>
      <c r="J13" s="8">
        <v>0.25590710414822621</v>
      </c>
      <c r="K13" s="8">
        <v>48.888888888888893</v>
      </c>
    </row>
    <row r="14" spans="1:30" x14ac:dyDescent="0.3">
      <c r="A14" s="7" t="s">
        <v>4</v>
      </c>
      <c r="B14" s="8">
        <v>1.865</v>
      </c>
      <c r="C14" s="8">
        <v>3.4833333333333329</v>
      </c>
      <c r="D14" s="8">
        <v>134.4</v>
      </c>
      <c r="E14" s="8">
        <v>0.89</v>
      </c>
      <c r="F14" s="8">
        <v>4.1866666666666674</v>
      </c>
      <c r="G14" s="8">
        <v>6.6719999999999997</v>
      </c>
      <c r="H14" s="8">
        <v>3.0885896403946971</v>
      </c>
      <c r="I14" s="8">
        <v>2.788871596248903</v>
      </c>
      <c r="J14" s="8">
        <v>0.49986933751152812</v>
      </c>
      <c r="K14" s="8">
        <v>49.791666666666671</v>
      </c>
    </row>
    <row r="15" spans="1:30" x14ac:dyDescent="0.3">
      <c r="A15" s="7" t="s">
        <v>25</v>
      </c>
      <c r="B15" s="8">
        <v>2.101666666666667</v>
      </c>
      <c r="C15" s="8">
        <v>3.0049999999999999</v>
      </c>
      <c r="D15" s="8">
        <v>126.81666666666671</v>
      </c>
      <c r="E15" s="8">
        <v>1.2716666666666669</v>
      </c>
      <c r="F15" s="8">
        <v>3.665</v>
      </c>
      <c r="G15" s="8">
        <v>6.1081666666666674</v>
      </c>
      <c r="H15" s="8">
        <v>3.537699731906057</v>
      </c>
      <c r="I15" s="8">
        <v>2.7279232382968992</v>
      </c>
      <c r="J15" s="8">
        <v>0.36856169068490968</v>
      </c>
      <c r="K15" s="8">
        <v>50.763888888888893</v>
      </c>
    </row>
    <row r="16" spans="1:30" x14ac:dyDescent="0.3">
      <c r="A16" s="7" t="s">
        <v>13</v>
      </c>
      <c r="B16" s="8">
        <v>2.105</v>
      </c>
      <c r="C16" s="8">
        <v>4.0949999999999998</v>
      </c>
      <c r="D16" s="8">
        <v>137.0333333333333</v>
      </c>
      <c r="E16" s="8">
        <v>1.1233333333333331</v>
      </c>
      <c r="F16" s="8">
        <v>3.9433333333333329</v>
      </c>
      <c r="G16" s="8">
        <v>6.6711666666666671</v>
      </c>
      <c r="H16" s="8">
        <v>2.9380693543851879</v>
      </c>
      <c r="I16" s="8">
        <v>2.7509491558609338</v>
      </c>
      <c r="J16" s="8">
        <v>0.48920062348310028</v>
      </c>
      <c r="K16" s="8">
        <v>50.972222222222221</v>
      </c>
    </row>
    <row r="17" spans="1:11" x14ac:dyDescent="0.3">
      <c r="A17" s="7" t="s">
        <v>15</v>
      </c>
      <c r="B17" s="8">
        <v>1.611666666666667</v>
      </c>
      <c r="C17" s="8">
        <v>4.1383333333333336</v>
      </c>
      <c r="D17" s="8">
        <v>164.16666666666671</v>
      </c>
      <c r="E17" s="8">
        <v>0.44166666666666671</v>
      </c>
      <c r="F17" s="8">
        <v>3.9516666666666671</v>
      </c>
      <c r="G17" s="8">
        <v>5.1558333333333328</v>
      </c>
      <c r="H17" s="8">
        <v>3.1909151922672292</v>
      </c>
      <c r="I17" s="8">
        <v>3.333004839327633</v>
      </c>
      <c r="J17" s="8">
        <v>0.5173743388244596</v>
      </c>
      <c r="K17" s="8">
        <v>51.597222222222221</v>
      </c>
    </row>
    <row r="18" spans="1:11" x14ac:dyDescent="0.3">
      <c r="A18" s="7" t="s">
        <v>21</v>
      </c>
      <c r="B18" s="8">
        <v>0.3</v>
      </c>
      <c r="C18" s="8">
        <v>0.97166666666666668</v>
      </c>
      <c r="D18" s="8">
        <v>135.15</v>
      </c>
      <c r="E18" s="8">
        <v>0.67166666666666663</v>
      </c>
      <c r="F18" s="8">
        <v>3.773333333333333</v>
      </c>
      <c r="G18" s="8">
        <v>2.468</v>
      </c>
      <c r="H18" s="8">
        <v>2.2271723006685509</v>
      </c>
      <c r="I18" s="8">
        <v>2.4619032886995438</v>
      </c>
      <c r="J18" s="8">
        <v>0.27395072970593232</v>
      </c>
      <c r="K18" s="8">
        <v>53.055555555555557</v>
      </c>
    </row>
    <row r="19" spans="1:11" x14ac:dyDescent="0.3">
      <c r="A19" s="7" t="s">
        <v>5</v>
      </c>
      <c r="B19" s="8">
        <v>2.5733333333333328</v>
      </c>
      <c r="C19" s="8">
        <v>4.2350000000000003</v>
      </c>
      <c r="D19" s="8">
        <v>147.56666666666669</v>
      </c>
      <c r="E19" s="8">
        <v>0.33333333333333331</v>
      </c>
      <c r="F19" s="8">
        <v>3.9883333333333328</v>
      </c>
      <c r="G19" s="8">
        <v>6.5998333333333337</v>
      </c>
      <c r="H19" s="8">
        <v>2.8164865869888742</v>
      </c>
      <c r="I19" s="8">
        <v>2.7914196111017491</v>
      </c>
      <c r="J19" s="8">
        <v>0.43744698944495741</v>
      </c>
      <c r="K19" s="8">
        <v>54.513888888888893</v>
      </c>
    </row>
    <row r="20" spans="1:11" x14ac:dyDescent="0.3">
      <c r="A20" s="7" t="s">
        <v>18</v>
      </c>
      <c r="B20" s="8">
        <v>0.44833333333333342</v>
      </c>
      <c r="C20" s="8">
        <v>2.11</v>
      </c>
      <c r="D20" s="8">
        <v>140.83333333333329</v>
      </c>
      <c r="E20" s="8">
        <v>2.0016666666666669</v>
      </c>
      <c r="F20" s="8">
        <v>3.83</v>
      </c>
      <c r="G20" s="8">
        <v>3.2063333333333328</v>
      </c>
      <c r="H20" s="8">
        <v>2.4322564309183772</v>
      </c>
      <c r="I20" s="8">
        <v>2.855937195348067</v>
      </c>
      <c r="J20" s="8">
        <v>0.43399743094356602</v>
      </c>
      <c r="K20" s="8">
        <v>56.041666666666657</v>
      </c>
    </row>
    <row r="21" spans="1:11" x14ac:dyDescent="0.3">
      <c r="A21" s="7" t="s">
        <v>20</v>
      </c>
      <c r="B21" s="8">
        <v>0.28999999999999998</v>
      </c>
      <c r="C21" s="8">
        <v>1.208333333333333</v>
      </c>
      <c r="D21" s="8">
        <v>131.5333333333333</v>
      </c>
      <c r="E21" s="8">
        <v>1.9550000000000001</v>
      </c>
      <c r="F21" s="8">
        <v>4.3216666666666663</v>
      </c>
      <c r="G21" s="8">
        <v>3.300333333333334</v>
      </c>
      <c r="H21" s="8">
        <v>1.9885473291545981</v>
      </c>
      <c r="I21" s="8">
        <v>2.4072373027146199</v>
      </c>
      <c r="J21" s="8">
        <v>0.30808763803896128</v>
      </c>
      <c r="K21" s="8">
        <v>58.819444444444443</v>
      </c>
    </row>
    <row r="22" spans="1:11" x14ac:dyDescent="0.3">
      <c r="A22" s="7" t="s">
        <v>30</v>
      </c>
      <c r="B22" s="8">
        <v>0.90833333333333333</v>
      </c>
      <c r="C22" s="8">
        <v>3.3466666666666671</v>
      </c>
      <c r="D22" s="8">
        <v>122.01666666666669</v>
      </c>
      <c r="E22" s="8">
        <v>0.73666666666666669</v>
      </c>
      <c r="F22" s="8">
        <v>4.043333333333333</v>
      </c>
      <c r="G22" s="8">
        <v>4.7458333333333336</v>
      </c>
      <c r="H22" s="8">
        <v>2.3163489342008008</v>
      </c>
      <c r="I22" s="8">
        <v>2.2622873411360169</v>
      </c>
      <c r="J22" s="8">
        <v>0.32407066064515078</v>
      </c>
      <c r="K22" s="8">
        <v>58.819444444444443</v>
      </c>
    </row>
    <row r="23" spans="1:11" x14ac:dyDescent="0.3">
      <c r="A23" s="7" t="s">
        <v>14</v>
      </c>
      <c r="B23" s="8">
        <v>1.8566666666666669</v>
      </c>
      <c r="C23" s="8">
        <v>3.8666666666666671</v>
      </c>
      <c r="D23" s="8">
        <v>132</v>
      </c>
      <c r="E23" s="8">
        <v>1.48</v>
      </c>
      <c r="F23" s="8">
        <v>4.2350000000000003</v>
      </c>
      <c r="G23" s="8">
        <v>6.1544999999999996</v>
      </c>
      <c r="H23" s="8">
        <v>3.0196618469020722</v>
      </c>
      <c r="I23" s="8">
        <v>2.8140078268549389</v>
      </c>
      <c r="J23" s="8">
        <v>0.53648383355157558</v>
      </c>
      <c r="K23" s="8">
        <v>58.958333333333343</v>
      </c>
    </row>
    <row r="24" spans="1:11" x14ac:dyDescent="0.3">
      <c r="A24" s="7" t="s">
        <v>8</v>
      </c>
      <c r="B24" s="8">
        <v>1.3666666666666669</v>
      </c>
      <c r="C24" s="8">
        <v>1.9716666666666669</v>
      </c>
      <c r="D24" s="8">
        <v>147.55000000000001</v>
      </c>
      <c r="E24" s="8">
        <v>1.658333333333333</v>
      </c>
      <c r="F24" s="8">
        <v>3.84</v>
      </c>
      <c r="G24" s="8">
        <v>4.2358333333333338</v>
      </c>
      <c r="H24" s="8">
        <v>2.7183282927152681</v>
      </c>
      <c r="I24" s="8">
        <v>2.9723147251571471</v>
      </c>
      <c r="J24" s="8">
        <v>0.3754169479470445</v>
      </c>
      <c r="K24" s="8">
        <v>59.583333333333343</v>
      </c>
    </row>
    <row r="25" spans="1:11" x14ac:dyDescent="0.3">
      <c r="A25" s="5" t="s">
        <v>9</v>
      </c>
      <c r="B25" s="6">
        <v>2.7866666666666671</v>
      </c>
      <c r="C25" s="6">
        <v>4.7450000000000001</v>
      </c>
      <c r="D25" s="6">
        <v>123.43333333333329</v>
      </c>
      <c r="E25" s="6">
        <v>1.405</v>
      </c>
      <c r="F25" s="6">
        <v>3.855</v>
      </c>
      <c r="G25" s="6">
        <v>7.6444999999999999</v>
      </c>
      <c r="H25" s="6">
        <v>3.2723937963411229</v>
      </c>
      <c r="I25" s="6">
        <v>2.6355038769786798</v>
      </c>
      <c r="J25" s="6">
        <v>0.51953307660158821</v>
      </c>
      <c r="K25" s="6">
        <v>63.263888888888893</v>
      </c>
    </row>
    <row r="26" spans="1:11" x14ac:dyDescent="0.3">
      <c r="A26" s="5" t="s">
        <v>34</v>
      </c>
      <c r="B26" s="6">
        <v>1.4750000000000001</v>
      </c>
      <c r="C26" s="6">
        <v>3.5216666666666669</v>
      </c>
      <c r="D26" s="6">
        <v>134.08333333333329</v>
      </c>
      <c r="E26" s="6">
        <v>2.078333333333334</v>
      </c>
      <c r="F26" s="6">
        <v>4.04</v>
      </c>
      <c r="G26" s="6">
        <v>5.1806666666666663</v>
      </c>
      <c r="H26" s="6">
        <v>2.4485070267004598</v>
      </c>
      <c r="I26" s="6">
        <v>2.4912192153452621</v>
      </c>
      <c r="J26" s="6">
        <v>0.4003928360887507</v>
      </c>
      <c r="K26" s="6">
        <v>63.611111111111107</v>
      </c>
    </row>
    <row r="27" spans="1:11" x14ac:dyDescent="0.3">
      <c r="A27" s="5" t="s">
        <v>22</v>
      </c>
      <c r="B27" s="6">
        <v>1.9233333333333329</v>
      </c>
      <c r="C27" s="6">
        <v>4.2149999999999999</v>
      </c>
      <c r="D27" s="6">
        <v>117.5</v>
      </c>
      <c r="E27" s="6">
        <v>1.61</v>
      </c>
      <c r="F27" s="6">
        <v>3.8033333333333341</v>
      </c>
      <c r="G27" s="6">
        <v>7.1173333333333337</v>
      </c>
      <c r="H27" s="6">
        <v>2.885770690356825</v>
      </c>
      <c r="I27" s="6">
        <v>2.3059682529842962</v>
      </c>
      <c r="J27" s="6">
        <v>0.41325590862691702</v>
      </c>
      <c r="K27" s="6">
        <v>63.75</v>
      </c>
    </row>
    <row r="28" spans="1:11" x14ac:dyDescent="0.3">
      <c r="A28" s="5" t="s">
        <v>19</v>
      </c>
      <c r="B28" s="6">
        <v>0.45500000000000002</v>
      </c>
      <c r="C28" s="6">
        <v>1.37</v>
      </c>
      <c r="D28" s="6">
        <v>124.8333333333333</v>
      </c>
      <c r="E28" s="6">
        <v>2.6716666666666669</v>
      </c>
      <c r="F28" s="6">
        <v>4.1583333333333332</v>
      </c>
      <c r="G28" s="6">
        <v>4.0881666666666669</v>
      </c>
      <c r="H28" s="6">
        <v>2.7901952469391218</v>
      </c>
      <c r="I28" s="6">
        <v>2.5939483002874719</v>
      </c>
      <c r="J28" s="6">
        <v>0.40105298765844299</v>
      </c>
      <c r="K28" s="6">
        <v>64.027777777777771</v>
      </c>
    </row>
    <row r="29" spans="1:11" x14ac:dyDescent="0.3">
      <c r="A29" s="5" t="s">
        <v>39</v>
      </c>
      <c r="B29" s="6">
        <v>2.3266666666666671</v>
      </c>
      <c r="C29" s="6">
        <v>3.5016666666666669</v>
      </c>
      <c r="D29" s="6">
        <v>114.68333333333329</v>
      </c>
      <c r="E29" s="6">
        <v>1.52</v>
      </c>
      <c r="F29" s="6">
        <v>3.8066666666666671</v>
      </c>
      <c r="G29" s="6">
        <v>7.6448333333333336</v>
      </c>
      <c r="H29" s="6">
        <v>3.1082185778912459</v>
      </c>
      <c r="I29" s="6">
        <v>2.2954325968179079</v>
      </c>
      <c r="J29" s="6">
        <v>0.36601707738528949</v>
      </c>
      <c r="K29" s="6">
        <v>64.097222222222229</v>
      </c>
    </row>
    <row r="30" spans="1:11" x14ac:dyDescent="0.3">
      <c r="A30" s="5" t="s">
        <v>32</v>
      </c>
      <c r="B30" s="6">
        <v>0.41333333333333327</v>
      </c>
      <c r="C30" s="6">
        <v>1.29</v>
      </c>
      <c r="D30" s="6">
        <v>126.26666666666669</v>
      </c>
      <c r="E30" s="6">
        <v>2.2349999999999999</v>
      </c>
      <c r="F30" s="6">
        <v>3.8966666666666669</v>
      </c>
      <c r="G30" s="6">
        <v>3.7751666666666668</v>
      </c>
      <c r="H30" s="6">
        <v>2.2410730051825949</v>
      </c>
      <c r="I30" s="6">
        <v>2.471487003687983</v>
      </c>
      <c r="J30" s="6">
        <v>0.4038527795022685</v>
      </c>
      <c r="K30" s="6">
        <v>64.166666666666671</v>
      </c>
    </row>
    <row r="31" spans="1:11" x14ac:dyDescent="0.3">
      <c r="A31" s="5" t="s">
        <v>31</v>
      </c>
      <c r="B31" s="6">
        <v>3.57</v>
      </c>
      <c r="C31" s="6">
        <v>4.085</v>
      </c>
      <c r="D31" s="6">
        <v>140.81666666666669</v>
      </c>
      <c r="E31" s="6">
        <v>1.7683333333333331</v>
      </c>
      <c r="F31" s="6">
        <v>3.856666666666666</v>
      </c>
      <c r="G31" s="6">
        <v>6.3025000000000002</v>
      </c>
      <c r="H31" s="6">
        <v>3.8447693950810642</v>
      </c>
      <c r="I31" s="6">
        <v>3.0840591592684272</v>
      </c>
      <c r="J31" s="6">
        <v>0.54802852626471832</v>
      </c>
      <c r="K31" s="6">
        <v>64.583333333333329</v>
      </c>
    </row>
    <row r="32" spans="1:11" x14ac:dyDescent="0.3">
      <c r="A32" s="5" t="s">
        <v>40</v>
      </c>
      <c r="B32" s="6">
        <v>1.958333333333333</v>
      </c>
      <c r="C32" s="6">
        <v>4.2216666666666667</v>
      </c>
      <c r="D32" s="6">
        <v>132.23333333333329</v>
      </c>
      <c r="E32" s="6">
        <v>1.4116666666666671</v>
      </c>
      <c r="F32" s="6">
        <v>3.7949999999999999</v>
      </c>
      <c r="G32" s="6">
        <v>6.6663333333333332</v>
      </c>
      <c r="H32" s="6">
        <v>2.997598434882228</v>
      </c>
      <c r="I32" s="6">
        <v>2.6614628168527861</v>
      </c>
      <c r="J32" s="6">
        <v>0.41377131542993151</v>
      </c>
      <c r="K32" s="6">
        <v>65.972222222222229</v>
      </c>
    </row>
    <row r="33" spans="1:11" x14ac:dyDescent="0.3">
      <c r="A33" s="5" t="s">
        <v>36</v>
      </c>
      <c r="B33" s="6">
        <v>0.45</v>
      </c>
      <c r="C33" s="6">
        <v>1.3866666666666669</v>
      </c>
      <c r="D33" s="6">
        <v>125.4166666666667</v>
      </c>
      <c r="E33" s="6">
        <v>1.845</v>
      </c>
      <c r="F33" s="6">
        <v>3.9816666666666669</v>
      </c>
      <c r="G33" s="6">
        <v>4.418333333333333</v>
      </c>
      <c r="H33" s="6">
        <v>2.506023597958853</v>
      </c>
      <c r="I33" s="6">
        <v>2.590968973334431</v>
      </c>
      <c r="J33" s="6">
        <v>0.40388496371613553</v>
      </c>
      <c r="K33" s="6">
        <v>66.180555555555557</v>
      </c>
    </row>
    <row r="34" spans="1:11" x14ac:dyDescent="0.3">
      <c r="A34" s="5" t="s">
        <v>35</v>
      </c>
      <c r="B34" s="6">
        <v>0.64666666666666672</v>
      </c>
      <c r="C34" s="6">
        <v>1.84</v>
      </c>
      <c r="D34" s="6">
        <v>116.8333333333333</v>
      </c>
      <c r="E34" s="6">
        <v>1.8166666666666671</v>
      </c>
      <c r="F34" s="6">
        <v>4.2433333333333332</v>
      </c>
      <c r="G34" s="6">
        <v>4.5996666666666668</v>
      </c>
      <c r="H34" s="6">
        <v>2.4407782794235549</v>
      </c>
      <c r="I34" s="6">
        <v>2.1234170370291352</v>
      </c>
      <c r="J34" s="6">
        <v>0.3251698350923139</v>
      </c>
      <c r="K34" s="6">
        <v>67.083333333333329</v>
      </c>
    </row>
    <row r="35" spans="1:11" x14ac:dyDescent="0.3">
      <c r="A35" s="5" t="s">
        <v>27</v>
      </c>
      <c r="B35" s="6">
        <v>2.933333333333334</v>
      </c>
      <c r="C35" s="6">
        <v>3.5533333333333328</v>
      </c>
      <c r="D35" s="6">
        <v>133.80000000000001</v>
      </c>
      <c r="E35" s="6">
        <v>1.9016666666666671</v>
      </c>
      <c r="F35" s="6">
        <v>3.8250000000000002</v>
      </c>
      <c r="G35" s="6">
        <v>8.0515000000000008</v>
      </c>
      <c r="H35" s="6">
        <v>3.4596044900192782</v>
      </c>
      <c r="I35" s="6">
        <v>2.9544183835440032</v>
      </c>
      <c r="J35" s="6">
        <v>0.47049713473692389</v>
      </c>
      <c r="K35" s="6">
        <v>67.222222222222214</v>
      </c>
    </row>
    <row r="36" spans="1:11" x14ac:dyDescent="0.3">
      <c r="A36" s="5" t="s">
        <v>10</v>
      </c>
      <c r="B36" s="6">
        <v>4.3083333333333336</v>
      </c>
      <c r="C36" s="6">
        <v>4.7616666666666667</v>
      </c>
      <c r="D36" s="6">
        <v>114.48333333333331</v>
      </c>
      <c r="E36" s="6">
        <v>1.5866666666666669</v>
      </c>
      <c r="F36" s="6">
        <v>3.8849999999999998</v>
      </c>
      <c r="G36" s="6">
        <v>9.0151666666666657</v>
      </c>
      <c r="H36" s="6">
        <v>4.023452703568382</v>
      </c>
      <c r="I36" s="6">
        <v>2.6062066557940189</v>
      </c>
      <c r="J36" s="6">
        <v>0.50768732374690384</v>
      </c>
      <c r="K36" s="6">
        <v>67.5</v>
      </c>
    </row>
    <row r="37" spans="1:11" x14ac:dyDescent="0.3">
      <c r="A37" s="5" t="s">
        <v>26</v>
      </c>
      <c r="B37" s="6">
        <v>1.1633333333333331</v>
      </c>
      <c r="C37" s="6">
        <v>3.415</v>
      </c>
      <c r="D37" s="6">
        <v>142.51666666666671</v>
      </c>
      <c r="E37" s="6">
        <v>1.96</v>
      </c>
      <c r="F37" s="6">
        <v>3.9683333333333328</v>
      </c>
      <c r="G37" s="6">
        <v>4.9236666666666666</v>
      </c>
      <c r="H37" s="6">
        <v>2.4114136898880441</v>
      </c>
      <c r="I37" s="6">
        <v>2.7729292286566389</v>
      </c>
      <c r="J37" s="6">
        <v>0.47630033382662462</v>
      </c>
      <c r="K37" s="6">
        <v>67.569444444444443</v>
      </c>
    </row>
    <row r="38" spans="1:11" x14ac:dyDescent="0.3">
      <c r="A38" s="5" t="s">
        <v>28</v>
      </c>
      <c r="B38" s="6">
        <v>0.59333333333333327</v>
      </c>
      <c r="C38" s="6">
        <v>1.5483333333333329</v>
      </c>
      <c r="D38" s="6">
        <v>113.76666666666669</v>
      </c>
      <c r="E38" s="6">
        <v>1.95</v>
      </c>
      <c r="F38" s="6">
        <v>4.1516666666666664</v>
      </c>
      <c r="G38" s="6">
        <v>4.1866666666666674</v>
      </c>
      <c r="H38" s="6">
        <v>2.429048771843656</v>
      </c>
      <c r="I38" s="6">
        <v>2.2104058624357821</v>
      </c>
      <c r="J38" s="6">
        <v>0.40724575412993791</v>
      </c>
      <c r="K38" s="6">
        <v>67.569444444444443</v>
      </c>
    </row>
    <row r="39" spans="1:11" x14ac:dyDescent="0.3">
      <c r="A39" s="5" t="s">
        <v>23</v>
      </c>
      <c r="B39" s="6">
        <v>3.996666666666667</v>
      </c>
      <c r="C39" s="6">
        <v>4.5599999999999996</v>
      </c>
      <c r="D39" s="6">
        <v>124.2833333333333</v>
      </c>
      <c r="E39" s="6">
        <v>1.7033333333333329</v>
      </c>
      <c r="F39" s="6">
        <v>3.7850000000000001</v>
      </c>
      <c r="G39" s="6">
        <v>9.1053333333333342</v>
      </c>
      <c r="H39" s="6">
        <v>3.9225780787368199</v>
      </c>
      <c r="I39" s="6">
        <v>2.7469884668053401</v>
      </c>
      <c r="J39" s="6">
        <v>0.47413782970378748</v>
      </c>
      <c r="K39" s="6">
        <v>68.611111111111114</v>
      </c>
    </row>
    <row r="40" spans="1:11" x14ac:dyDescent="0.3">
      <c r="A40" s="5" t="s">
        <v>24</v>
      </c>
      <c r="B40" s="6">
        <v>2.041666666666667</v>
      </c>
      <c r="C40" s="6">
        <v>4.5216666666666674</v>
      </c>
      <c r="D40" s="6">
        <v>129.66666666666671</v>
      </c>
      <c r="E40" s="6">
        <v>0.94</v>
      </c>
      <c r="F40" s="6">
        <v>3.86</v>
      </c>
      <c r="G40" s="6">
        <v>7.1029999999999998</v>
      </c>
      <c r="H40" s="6">
        <v>3.3110739524435959</v>
      </c>
      <c r="I40" s="6">
        <v>2.7472588038963348</v>
      </c>
      <c r="J40" s="6">
        <v>0.45527689408496791</v>
      </c>
      <c r="K40" s="6">
        <v>68.680555555555557</v>
      </c>
    </row>
    <row r="41" spans="1:11" x14ac:dyDescent="0.3">
      <c r="A41" s="5" t="s">
        <v>11</v>
      </c>
      <c r="B41" s="6">
        <v>3.121666666666667</v>
      </c>
      <c r="C41" s="6">
        <v>5.0983333333333336</v>
      </c>
      <c r="D41" s="6">
        <v>126.05</v>
      </c>
      <c r="E41" s="6">
        <v>0.89166666666666661</v>
      </c>
      <c r="F41" s="6">
        <v>3.811666666666667</v>
      </c>
      <c r="G41" s="6">
        <v>8.2948333333333331</v>
      </c>
      <c r="H41" s="6">
        <v>3.4771475486650409</v>
      </c>
      <c r="I41" s="6">
        <v>2.724148021032561</v>
      </c>
      <c r="J41" s="6">
        <v>0.48241831507691812</v>
      </c>
      <c r="K41" s="6">
        <v>68.75</v>
      </c>
    </row>
  </sheetData>
  <sortState xmlns:xlrd2="http://schemas.microsoft.com/office/spreadsheetml/2017/richdata2" ref="A2:K43">
    <sortCondition ref="K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1"/>
  <sheetViews>
    <sheetView zoomScale="65" zoomScaleNormal="130" workbookViewId="0">
      <selection activeCell="P40" sqref="P40"/>
    </sheetView>
  </sheetViews>
  <sheetFormatPr defaultRowHeight="14.4" x14ac:dyDescent="0.3"/>
  <cols>
    <col min="1" max="1" width="36.6640625" bestFit="1" customWidth="1"/>
    <col min="2" max="3" width="15.44140625" bestFit="1" customWidth="1"/>
    <col min="4" max="4" width="17.6640625" bestFit="1" customWidth="1"/>
    <col min="5" max="5" width="15.44140625" bestFit="1" customWidth="1"/>
    <col min="6" max="6" width="18.33203125" bestFit="1" customWidth="1"/>
    <col min="7" max="7" width="18.33203125" customWidth="1"/>
    <col min="10" max="10" width="10.109375" bestFit="1" customWidth="1"/>
    <col min="12" max="12" width="17.109375" bestFit="1" customWidth="1"/>
  </cols>
  <sheetData>
    <row r="1" spans="1:24" x14ac:dyDescent="0.3">
      <c r="A1" s="1" t="s">
        <v>0</v>
      </c>
      <c r="B1" s="1" t="s">
        <v>41</v>
      </c>
      <c r="C1" s="1" t="s">
        <v>80</v>
      </c>
      <c r="D1" s="1" t="s">
        <v>78</v>
      </c>
      <c r="E1" s="1" t="s">
        <v>44</v>
      </c>
      <c r="F1" s="1" t="s">
        <v>93</v>
      </c>
      <c r="G1" s="1" t="s">
        <v>77</v>
      </c>
      <c r="H1" s="1" t="s">
        <v>63</v>
      </c>
      <c r="I1" s="1" t="s">
        <v>64</v>
      </c>
      <c r="J1" s="1" t="s">
        <v>81</v>
      </c>
      <c r="K1" s="1" t="s">
        <v>65</v>
      </c>
      <c r="L1" t="s">
        <v>46</v>
      </c>
      <c r="M1" s="1" t="s">
        <v>94</v>
      </c>
      <c r="N1" s="10" t="s">
        <v>75</v>
      </c>
      <c r="O1" s="10" t="s">
        <v>76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</row>
    <row r="2" spans="1:24" x14ac:dyDescent="0.3">
      <c r="A2" t="s">
        <v>16</v>
      </c>
      <c r="B2" s="2">
        <v>1.666666666666667E-3</v>
      </c>
      <c r="C2" s="2">
        <v>0.37666666666666659</v>
      </c>
      <c r="D2" s="2">
        <v>221.4</v>
      </c>
      <c r="E2" s="2">
        <v>3.3333333333333333E-2</v>
      </c>
      <c r="F2" s="2">
        <v>0</v>
      </c>
      <c r="G2" s="2">
        <v>0</v>
      </c>
      <c r="H2" s="2">
        <f>B2^2</f>
        <v>2.7777777777777788E-6</v>
      </c>
      <c r="I2" s="2">
        <f t="shared" ref="I2:K2" si="0">C2^2</f>
        <v>0.14187777777777771</v>
      </c>
      <c r="J2" s="2">
        <f t="shared" si="0"/>
        <v>49017.96</v>
      </c>
      <c r="K2" s="2">
        <f t="shared" si="0"/>
        <v>1.1111111111111111E-3</v>
      </c>
      <c r="L2">
        <v>2.004666666666667</v>
      </c>
      <c r="M2" s="2">
        <f>L2^2</f>
        <v>4.0186884444444457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 t="s">
        <v>1</v>
      </c>
      <c r="B3" s="2">
        <v>1.3583333333333329</v>
      </c>
      <c r="C3" s="2">
        <v>0.56499999999999995</v>
      </c>
      <c r="D3" s="2">
        <v>182.9</v>
      </c>
      <c r="E3" s="2">
        <v>0.72499999999999998</v>
      </c>
      <c r="F3" s="2">
        <v>39.583333333333343</v>
      </c>
      <c r="G3" s="2">
        <v>38.99</v>
      </c>
      <c r="H3" s="2">
        <f t="shared" ref="H3:H41" si="1">B3^2</f>
        <v>1.8450694444444433</v>
      </c>
      <c r="I3" s="2">
        <f t="shared" ref="I3:I41" si="2">C3^2</f>
        <v>0.31922499999999993</v>
      </c>
      <c r="J3" s="2">
        <f t="shared" ref="J3:J41" si="3">D3^2</f>
        <v>33452.410000000003</v>
      </c>
      <c r="K3" s="2">
        <f t="shared" ref="K3:K41" si="4">E3^2</f>
        <v>0.52562500000000001</v>
      </c>
      <c r="L3">
        <v>3.254666666666667</v>
      </c>
      <c r="M3" s="2">
        <f t="shared" ref="M3:M41" si="5">L3^2</f>
        <v>10.592855111111113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 t="s">
        <v>2</v>
      </c>
      <c r="B4" s="2">
        <v>3.333333333333334E-3</v>
      </c>
      <c r="C4" s="2">
        <v>0.26833333333333331</v>
      </c>
      <c r="D4" s="2">
        <v>199.15</v>
      </c>
      <c r="E4" s="2">
        <v>0.34666666666666668</v>
      </c>
      <c r="F4" s="2">
        <v>16.18055555555555</v>
      </c>
      <c r="G4" s="2">
        <v>23.72</v>
      </c>
      <c r="H4" s="2">
        <f t="shared" si="1"/>
        <v>1.1111111111111115E-5</v>
      </c>
      <c r="I4" s="2">
        <f t="shared" si="2"/>
        <v>7.2002777777777763E-2</v>
      </c>
      <c r="J4" s="2">
        <f t="shared" si="3"/>
        <v>39660.722500000003</v>
      </c>
      <c r="K4" s="2">
        <f t="shared" si="4"/>
        <v>0.12017777777777779</v>
      </c>
      <c r="L4">
        <v>2.3210000000000002</v>
      </c>
      <c r="M4" s="2">
        <f t="shared" si="5"/>
        <v>5.3870410000000009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 t="s">
        <v>3</v>
      </c>
      <c r="B5" s="2">
        <v>1.02</v>
      </c>
      <c r="C5" s="2">
        <v>2.6983333333333328</v>
      </c>
      <c r="D5" s="2">
        <v>155.23333333333329</v>
      </c>
      <c r="E5" s="2">
        <v>1.5149999999999999</v>
      </c>
      <c r="F5" s="2">
        <v>44.097222222222221</v>
      </c>
      <c r="G5" s="2">
        <v>41.61</v>
      </c>
      <c r="H5" s="2">
        <f t="shared" si="1"/>
        <v>1.0404</v>
      </c>
      <c r="I5" s="2">
        <f t="shared" si="2"/>
        <v>7.2810027777777746</v>
      </c>
      <c r="J5" s="2">
        <f t="shared" si="3"/>
        <v>24097.387777777763</v>
      </c>
      <c r="K5" s="2">
        <f t="shared" si="4"/>
        <v>2.2952249999999998</v>
      </c>
      <c r="L5">
        <v>5.6394000000000002</v>
      </c>
      <c r="M5" s="2">
        <f t="shared" si="5"/>
        <v>31.802832360000004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 t="s">
        <v>4</v>
      </c>
      <c r="B6" s="2">
        <v>1.865</v>
      </c>
      <c r="C6" s="2">
        <v>3.4833333333333329</v>
      </c>
      <c r="D6" s="2">
        <v>134.4</v>
      </c>
      <c r="E6" s="2">
        <v>0.89</v>
      </c>
      <c r="F6" s="2">
        <v>49.791666666666671</v>
      </c>
      <c r="G6" s="2">
        <v>44.88</v>
      </c>
      <c r="H6" s="2">
        <f t="shared" si="1"/>
        <v>3.4782250000000001</v>
      </c>
      <c r="I6" s="2">
        <f t="shared" si="2"/>
        <v>12.133611111111108</v>
      </c>
      <c r="J6" s="2">
        <f t="shared" si="3"/>
        <v>18063.36</v>
      </c>
      <c r="K6" s="2">
        <f t="shared" si="4"/>
        <v>0.79210000000000003</v>
      </c>
      <c r="L6">
        <v>6.6719999999999997</v>
      </c>
      <c r="M6" s="2">
        <f t="shared" si="5"/>
        <v>44.515583999999997</v>
      </c>
      <c r="N6">
        <v>0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 t="s">
        <v>5</v>
      </c>
      <c r="B7" s="2">
        <v>2.5733333333333328</v>
      </c>
      <c r="C7" s="2">
        <v>4.2350000000000003</v>
      </c>
      <c r="D7" s="2">
        <v>147.56666666666669</v>
      </c>
      <c r="E7" s="2">
        <v>0.33333333333333331</v>
      </c>
      <c r="F7" s="2">
        <v>54.513888888888893</v>
      </c>
      <c r="G7" s="2">
        <v>47.59</v>
      </c>
      <c r="H7" s="2">
        <f t="shared" si="1"/>
        <v>6.622044444444442</v>
      </c>
      <c r="I7" s="2">
        <f t="shared" si="2"/>
        <v>17.935225000000003</v>
      </c>
      <c r="J7" s="2">
        <f t="shared" si="3"/>
        <v>21775.921111111118</v>
      </c>
      <c r="K7" s="2">
        <f t="shared" si="4"/>
        <v>0.1111111111111111</v>
      </c>
      <c r="L7">
        <v>6.5998333333333337</v>
      </c>
      <c r="M7" s="2">
        <f t="shared" si="5"/>
        <v>43.55780002777778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 t="s">
        <v>6</v>
      </c>
      <c r="B8" s="2">
        <v>1.34</v>
      </c>
      <c r="C8" s="2">
        <v>0.54333333333333333</v>
      </c>
      <c r="D8" s="2">
        <v>181.68333333333331</v>
      </c>
      <c r="E8" s="2">
        <v>1.031666666666667</v>
      </c>
      <c r="F8" s="2">
        <v>40.972222222222221</v>
      </c>
      <c r="G8" s="2">
        <v>39.799999999999997</v>
      </c>
      <c r="H8" s="2">
        <f t="shared" si="1"/>
        <v>1.7956000000000003</v>
      </c>
      <c r="I8" s="2">
        <f t="shared" si="2"/>
        <v>0.29521111111111109</v>
      </c>
      <c r="J8" s="2">
        <f t="shared" si="3"/>
        <v>33008.833611111106</v>
      </c>
      <c r="K8" s="2">
        <f t="shared" si="4"/>
        <v>1.0643361111111116</v>
      </c>
      <c r="L8">
        <v>3.0950000000000002</v>
      </c>
      <c r="M8" s="2">
        <f t="shared" si="5"/>
        <v>9.5790250000000015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 t="s">
        <v>7</v>
      </c>
      <c r="B9" s="2">
        <v>1.2350000000000001</v>
      </c>
      <c r="C9" s="2">
        <v>0.46666666666666667</v>
      </c>
      <c r="D9" s="2">
        <v>186.4666666666667</v>
      </c>
      <c r="E9" s="2">
        <v>0.77500000000000002</v>
      </c>
      <c r="F9" s="2">
        <v>36.597222222222221</v>
      </c>
      <c r="G9" s="2">
        <v>37.229999999999997</v>
      </c>
      <c r="H9" s="2">
        <f t="shared" si="1"/>
        <v>1.5252250000000003</v>
      </c>
      <c r="I9" s="2">
        <f t="shared" si="2"/>
        <v>0.21777777777777779</v>
      </c>
      <c r="J9" s="2">
        <f t="shared" si="3"/>
        <v>34769.817777777789</v>
      </c>
      <c r="K9" s="2">
        <f t="shared" si="4"/>
        <v>0.60062500000000008</v>
      </c>
      <c r="L9">
        <v>3.0558333333333332</v>
      </c>
      <c r="M9" s="2">
        <f t="shared" si="5"/>
        <v>9.3381173611111095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 t="s">
        <v>8</v>
      </c>
      <c r="B10" s="2">
        <v>1.3666666666666669</v>
      </c>
      <c r="C10" s="2">
        <v>1.9716666666666669</v>
      </c>
      <c r="D10" s="2">
        <v>147.55000000000001</v>
      </c>
      <c r="E10" s="2">
        <v>1.658333333333333</v>
      </c>
      <c r="F10" s="2">
        <v>59.583333333333343</v>
      </c>
      <c r="G10" s="2">
        <v>50.53</v>
      </c>
      <c r="H10" s="2">
        <f t="shared" si="1"/>
        <v>1.8677777777777784</v>
      </c>
      <c r="I10" s="2">
        <f t="shared" si="2"/>
        <v>3.8874694444444455</v>
      </c>
      <c r="J10" s="2">
        <f t="shared" si="3"/>
        <v>21771.002500000002</v>
      </c>
      <c r="K10" s="2">
        <f t="shared" si="4"/>
        <v>2.7500694444444433</v>
      </c>
      <c r="L10">
        <v>4.2358333333333338</v>
      </c>
      <c r="M10" s="2">
        <f t="shared" si="5"/>
        <v>17.942284027777781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 t="s">
        <v>9</v>
      </c>
      <c r="B11" s="2">
        <v>2.7866666666666671</v>
      </c>
      <c r="C11" s="2">
        <v>4.7450000000000001</v>
      </c>
      <c r="D11" s="2">
        <v>123.43333333333329</v>
      </c>
      <c r="E11" s="2">
        <v>1.405</v>
      </c>
      <c r="F11" s="2">
        <v>63.263888888888893</v>
      </c>
      <c r="G11" s="2">
        <v>52.69</v>
      </c>
      <c r="H11" s="2">
        <f t="shared" si="1"/>
        <v>7.7655111111111133</v>
      </c>
      <c r="I11" s="2">
        <f t="shared" si="2"/>
        <v>22.515025000000001</v>
      </c>
      <c r="J11" s="2">
        <f t="shared" si="3"/>
        <v>15235.787777777768</v>
      </c>
      <c r="K11" s="2">
        <f t="shared" si="4"/>
        <v>1.9740250000000001</v>
      </c>
      <c r="L11">
        <v>7.6444999999999999</v>
      </c>
      <c r="M11" s="2">
        <f t="shared" si="5"/>
        <v>58.438380249999994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 t="s">
        <v>10</v>
      </c>
      <c r="B12" s="2">
        <v>4.3083333333333336</v>
      </c>
      <c r="C12" s="2">
        <v>4.7616666666666667</v>
      </c>
      <c r="D12" s="2">
        <v>114.48333333333331</v>
      </c>
      <c r="E12" s="2">
        <v>1.5866666666666669</v>
      </c>
      <c r="F12" s="2">
        <v>67.5</v>
      </c>
      <c r="G12" s="2">
        <v>55.24</v>
      </c>
      <c r="H12" s="2">
        <f t="shared" si="1"/>
        <v>18.561736111111113</v>
      </c>
      <c r="I12" s="2">
        <f t="shared" si="2"/>
        <v>22.673469444444446</v>
      </c>
      <c r="J12" s="2">
        <f t="shared" si="3"/>
        <v>13106.433611111104</v>
      </c>
      <c r="K12" s="2">
        <f t="shared" si="4"/>
        <v>2.5175111111111117</v>
      </c>
      <c r="L12">
        <v>9.0151666666666657</v>
      </c>
      <c r="M12" s="2">
        <f t="shared" si="5"/>
        <v>81.273230027777757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 t="s">
        <v>11</v>
      </c>
      <c r="B13" s="2">
        <v>3.121666666666667</v>
      </c>
      <c r="C13" s="2">
        <v>5.0983333333333336</v>
      </c>
      <c r="D13" s="2">
        <v>126.05</v>
      </c>
      <c r="E13" s="2">
        <v>0.89166666666666661</v>
      </c>
      <c r="F13" s="2">
        <v>68.75</v>
      </c>
      <c r="G13" s="2">
        <v>56.01</v>
      </c>
      <c r="H13" s="2">
        <f t="shared" si="1"/>
        <v>9.7448027777777799</v>
      </c>
      <c r="I13" s="2">
        <f t="shared" si="2"/>
        <v>25.993002777777779</v>
      </c>
      <c r="J13" s="2">
        <f t="shared" si="3"/>
        <v>15888.602499999999</v>
      </c>
      <c r="K13" s="2">
        <f t="shared" si="4"/>
        <v>0.79506944444444438</v>
      </c>
      <c r="L13">
        <v>8.2948333333333331</v>
      </c>
      <c r="M13" s="2">
        <f t="shared" si="5"/>
        <v>68.804260027777772</v>
      </c>
      <c r="N13">
        <v>1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 t="s">
        <v>12</v>
      </c>
      <c r="B14" s="2">
        <v>1.666666666666667E-3</v>
      </c>
      <c r="C14" s="2">
        <v>0.2466666666666667</v>
      </c>
      <c r="D14" s="2">
        <v>185.2</v>
      </c>
      <c r="E14" s="2">
        <v>0.69333333333333336</v>
      </c>
      <c r="F14" s="2">
        <v>18.611111111111111</v>
      </c>
      <c r="G14" s="2">
        <v>25.56</v>
      </c>
      <c r="H14" s="2">
        <f t="shared" si="1"/>
        <v>2.7777777777777788E-6</v>
      </c>
      <c r="I14" s="2">
        <f t="shared" si="2"/>
        <v>6.0844444444444458E-2</v>
      </c>
      <c r="J14" s="2">
        <f t="shared" si="3"/>
        <v>34299.039999999994</v>
      </c>
      <c r="K14" s="2">
        <f t="shared" si="4"/>
        <v>0.48071111111111114</v>
      </c>
      <c r="L14">
        <v>2.2000000000000002</v>
      </c>
      <c r="M14" s="2">
        <f t="shared" si="5"/>
        <v>4.8400000000000007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 t="s">
        <v>13</v>
      </c>
      <c r="B15" s="2">
        <v>2.105</v>
      </c>
      <c r="C15" s="2">
        <v>4.0949999999999998</v>
      </c>
      <c r="D15" s="2">
        <v>137.0333333333333</v>
      </c>
      <c r="E15" s="2">
        <v>1.1233333333333331</v>
      </c>
      <c r="F15" s="2">
        <v>50.972222222222221</v>
      </c>
      <c r="G15" s="2">
        <v>45.56</v>
      </c>
      <c r="H15" s="2">
        <f t="shared" si="1"/>
        <v>4.431025</v>
      </c>
      <c r="I15" s="2">
        <f t="shared" si="2"/>
        <v>16.769024999999999</v>
      </c>
      <c r="J15" s="2">
        <f t="shared" si="3"/>
        <v>18778.134444444437</v>
      </c>
      <c r="K15" s="2">
        <f t="shared" si="4"/>
        <v>1.2618777777777772</v>
      </c>
      <c r="L15">
        <v>6.6711666666666671</v>
      </c>
      <c r="M15" s="2">
        <f t="shared" si="5"/>
        <v>44.504464694444451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 t="s">
        <v>14</v>
      </c>
      <c r="B16" s="2">
        <v>1.8566666666666669</v>
      </c>
      <c r="C16" s="2">
        <v>3.8666666666666671</v>
      </c>
      <c r="D16" s="2">
        <v>132</v>
      </c>
      <c r="E16" s="2">
        <v>1.48</v>
      </c>
      <c r="F16" s="2">
        <v>58.958333333333343</v>
      </c>
      <c r="G16" s="2">
        <v>50.16</v>
      </c>
      <c r="H16" s="2">
        <f t="shared" si="1"/>
        <v>3.4472111111111121</v>
      </c>
      <c r="I16" s="2">
        <f t="shared" si="2"/>
        <v>14.951111111111114</v>
      </c>
      <c r="J16" s="2">
        <f t="shared" si="3"/>
        <v>17424</v>
      </c>
      <c r="K16" s="2">
        <f t="shared" si="4"/>
        <v>2.1903999999999999</v>
      </c>
      <c r="L16">
        <v>6.1544999999999996</v>
      </c>
      <c r="M16" s="2">
        <f t="shared" si="5"/>
        <v>37.877870249999994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 t="s">
        <v>15</v>
      </c>
      <c r="B17" s="2">
        <v>1.611666666666667</v>
      </c>
      <c r="C17" s="2">
        <v>4.1383333333333336</v>
      </c>
      <c r="D17" s="2">
        <v>164.16666666666671</v>
      </c>
      <c r="E17" s="2">
        <v>0.44166666666666671</v>
      </c>
      <c r="F17" s="2">
        <v>51.597222222222221</v>
      </c>
      <c r="G17" s="2">
        <v>45.92</v>
      </c>
      <c r="H17" s="2">
        <f t="shared" si="1"/>
        <v>2.5974694444444455</v>
      </c>
      <c r="I17" s="2">
        <f t="shared" si="2"/>
        <v>17.125802777777782</v>
      </c>
      <c r="J17" s="2">
        <f t="shared" si="3"/>
        <v>26950.69444444446</v>
      </c>
      <c r="K17" s="2">
        <f t="shared" si="4"/>
        <v>0.19506944444444449</v>
      </c>
      <c r="L17">
        <v>5.1558333333333328</v>
      </c>
      <c r="M17" s="2">
        <f t="shared" si="5"/>
        <v>26.582617361111105</v>
      </c>
      <c r="N17">
        <v>1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3">
      <c r="A18" t="s">
        <v>17</v>
      </c>
      <c r="B18" s="2">
        <v>0.01</v>
      </c>
      <c r="C18" s="2">
        <v>0.64166666666666661</v>
      </c>
      <c r="D18" s="2">
        <v>160.66666666666671</v>
      </c>
      <c r="E18" s="2">
        <v>0.1516666666666667</v>
      </c>
      <c r="F18" s="2">
        <v>42.361111111111107</v>
      </c>
      <c r="G18" s="2">
        <v>40.61</v>
      </c>
      <c r="H18" s="2">
        <f t="shared" si="1"/>
        <v>1E-4</v>
      </c>
      <c r="I18" s="2">
        <f t="shared" si="2"/>
        <v>0.41173611111111103</v>
      </c>
      <c r="J18" s="2">
        <f t="shared" si="3"/>
        <v>25813.777777777792</v>
      </c>
      <c r="K18" s="2">
        <f t="shared" si="4"/>
        <v>2.3002777777777789E-2</v>
      </c>
      <c r="L18">
        <v>2.036</v>
      </c>
      <c r="M18" s="2">
        <f t="shared" si="5"/>
        <v>4.1452960000000001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">
      <c r="A19" t="s">
        <v>18</v>
      </c>
      <c r="B19" s="2">
        <v>0.44833333333333342</v>
      </c>
      <c r="C19" s="2">
        <v>2.11</v>
      </c>
      <c r="D19" s="2">
        <v>140.83333333333329</v>
      </c>
      <c r="E19" s="2">
        <v>2.0016666666666669</v>
      </c>
      <c r="F19" s="2">
        <v>56.041666666666657</v>
      </c>
      <c r="G19" s="2">
        <v>48.47</v>
      </c>
      <c r="H19" s="2">
        <f t="shared" si="1"/>
        <v>0.20100277777777786</v>
      </c>
      <c r="I19" s="2">
        <f t="shared" si="2"/>
        <v>4.4520999999999997</v>
      </c>
      <c r="J19" s="2">
        <f t="shared" si="3"/>
        <v>19834.027777777763</v>
      </c>
      <c r="K19" s="2">
        <f t="shared" si="4"/>
        <v>4.0066694444444453</v>
      </c>
      <c r="L19">
        <v>3.2063333333333328</v>
      </c>
      <c r="M19" s="2">
        <f t="shared" si="5"/>
        <v>10.280573444444441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">
      <c r="A20" t="s">
        <v>19</v>
      </c>
      <c r="B20" s="2">
        <v>0.45500000000000002</v>
      </c>
      <c r="C20" s="2">
        <v>1.37</v>
      </c>
      <c r="D20" s="2">
        <v>124.8333333333333</v>
      </c>
      <c r="E20" s="2">
        <v>2.6716666666666669</v>
      </c>
      <c r="F20" s="2">
        <v>64.027777777777771</v>
      </c>
      <c r="G20" s="2">
        <v>53.15</v>
      </c>
      <c r="H20" s="2">
        <f t="shared" si="1"/>
        <v>0.20702500000000001</v>
      </c>
      <c r="I20" s="2">
        <f t="shared" si="2"/>
        <v>1.8769000000000002</v>
      </c>
      <c r="J20" s="2">
        <f t="shared" si="3"/>
        <v>15583.361111111102</v>
      </c>
      <c r="K20" s="2">
        <f t="shared" si="4"/>
        <v>7.1378027777777788</v>
      </c>
      <c r="L20">
        <v>4.0881666666666669</v>
      </c>
      <c r="M20" s="2">
        <f t="shared" si="5"/>
        <v>16.713106694444448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3">
      <c r="A21" t="s">
        <v>20</v>
      </c>
      <c r="B21" s="2">
        <v>0.28999999999999998</v>
      </c>
      <c r="C21" s="2">
        <v>1.208333333333333</v>
      </c>
      <c r="D21" s="2">
        <v>131.5333333333333</v>
      </c>
      <c r="E21" s="2">
        <v>1.9550000000000001</v>
      </c>
      <c r="F21" s="2">
        <v>58.819444444444443</v>
      </c>
      <c r="G21" s="2">
        <v>50.08</v>
      </c>
      <c r="H21" s="2">
        <f t="shared" si="1"/>
        <v>8.4099999999999994E-2</v>
      </c>
      <c r="I21" s="2">
        <f t="shared" si="2"/>
        <v>1.4600694444444438</v>
      </c>
      <c r="J21" s="2">
        <f t="shared" si="3"/>
        <v>17301.017777777768</v>
      </c>
      <c r="K21" s="2">
        <f t="shared" si="4"/>
        <v>3.8220250000000004</v>
      </c>
      <c r="L21">
        <v>3.300333333333334</v>
      </c>
      <c r="M21" s="2">
        <f t="shared" si="5"/>
        <v>10.892200111111116</v>
      </c>
      <c r="N21">
        <v>1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3">
      <c r="A22" t="s">
        <v>21</v>
      </c>
      <c r="B22" s="2">
        <v>0.3</v>
      </c>
      <c r="C22" s="2">
        <v>0.97166666666666668</v>
      </c>
      <c r="D22" s="2">
        <v>135.15</v>
      </c>
      <c r="E22" s="2">
        <v>0.67166666666666663</v>
      </c>
      <c r="F22" s="2">
        <v>53.055555555555557</v>
      </c>
      <c r="G22" s="2">
        <v>46.75</v>
      </c>
      <c r="H22" s="2">
        <f t="shared" si="1"/>
        <v>0.09</v>
      </c>
      <c r="I22" s="2">
        <f t="shared" si="2"/>
        <v>0.94413611111111118</v>
      </c>
      <c r="J22" s="2">
        <f t="shared" si="3"/>
        <v>18265.522500000003</v>
      </c>
      <c r="K22" s="2">
        <f t="shared" si="4"/>
        <v>0.45113611111111107</v>
      </c>
      <c r="L22">
        <v>2.468</v>
      </c>
      <c r="M22" s="2">
        <f t="shared" si="5"/>
        <v>6.091024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</row>
    <row r="23" spans="1:24" x14ac:dyDescent="0.3">
      <c r="A23" t="s">
        <v>22</v>
      </c>
      <c r="B23" s="2">
        <v>1.9233333333333329</v>
      </c>
      <c r="C23" s="2">
        <v>4.2149999999999999</v>
      </c>
      <c r="D23" s="2">
        <v>117.5</v>
      </c>
      <c r="E23" s="2">
        <v>1.61</v>
      </c>
      <c r="F23" s="2">
        <v>63.75</v>
      </c>
      <c r="G23" s="2">
        <v>52.98</v>
      </c>
      <c r="H23" s="2">
        <f t="shared" si="1"/>
        <v>3.6992111111111092</v>
      </c>
      <c r="I23" s="2">
        <f t="shared" si="2"/>
        <v>17.766224999999999</v>
      </c>
      <c r="J23" s="2">
        <f t="shared" si="3"/>
        <v>13806.25</v>
      </c>
      <c r="K23" s="2">
        <f t="shared" si="4"/>
        <v>2.5921000000000003</v>
      </c>
      <c r="L23">
        <v>7.1173333333333337</v>
      </c>
      <c r="M23" s="2">
        <f t="shared" si="5"/>
        <v>50.656433777777785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</row>
    <row r="24" spans="1:24" x14ac:dyDescent="0.3">
      <c r="A24" t="s">
        <v>23</v>
      </c>
      <c r="B24" s="2">
        <v>3.996666666666667</v>
      </c>
      <c r="C24" s="2">
        <v>4.5599999999999996</v>
      </c>
      <c r="D24" s="2">
        <v>124.2833333333333</v>
      </c>
      <c r="E24" s="2">
        <v>1.7033333333333329</v>
      </c>
      <c r="F24" s="2">
        <v>68.611111111111114</v>
      </c>
      <c r="G24" s="2">
        <v>55.93</v>
      </c>
      <c r="H24" s="2">
        <f t="shared" si="1"/>
        <v>15.973344444444447</v>
      </c>
      <c r="I24" s="2">
        <f t="shared" si="2"/>
        <v>20.793599999999998</v>
      </c>
      <c r="J24" s="2">
        <f t="shared" si="3"/>
        <v>15446.346944444436</v>
      </c>
      <c r="K24" s="2">
        <f t="shared" si="4"/>
        <v>2.9013444444444429</v>
      </c>
      <c r="L24">
        <v>9.1053333333333342</v>
      </c>
      <c r="M24" s="2">
        <f t="shared" si="5"/>
        <v>82.907095111111133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</row>
    <row r="25" spans="1:24" x14ac:dyDescent="0.3">
      <c r="A25" t="s">
        <v>24</v>
      </c>
      <c r="B25" s="2">
        <v>2.041666666666667</v>
      </c>
      <c r="C25" s="2">
        <v>4.5216666666666674</v>
      </c>
      <c r="D25" s="2">
        <v>129.66666666666671</v>
      </c>
      <c r="E25" s="2">
        <v>0.94</v>
      </c>
      <c r="F25" s="2">
        <v>68.680555555555557</v>
      </c>
      <c r="G25" s="2">
        <v>55.97</v>
      </c>
      <c r="H25" s="2">
        <f t="shared" si="1"/>
        <v>4.1684027777777786</v>
      </c>
      <c r="I25" s="2">
        <f t="shared" si="2"/>
        <v>20.445469444444452</v>
      </c>
      <c r="J25" s="2">
        <f t="shared" si="3"/>
        <v>16813.444444444456</v>
      </c>
      <c r="K25" s="2">
        <f t="shared" si="4"/>
        <v>0.88359999999999994</v>
      </c>
      <c r="L25">
        <v>7.1029999999999998</v>
      </c>
      <c r="M25" s="2">
        <f t="shared" si="5"/>
        <v>50.452608999999995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</row>
    <row r="26" spans="1:24" x14ac:dyDescent="0.3">
      <c r="A26" t="s">
        <v>25</v>
      </c>
      <c r="B26" s="2">
        <v>2.101666666666667</v>
      </c>
      <c r="C26" s="2">
        <v>3.0049999999999999</v>
      </c>
      <c r="D26" s="2">
        <v>126.81666666666671</v>
      </c>
      <c r="E26" s="2">
        <v>1.2716666666666669</v>
      </c>
      <c r="F26" s="2">
        <v>50.763888888888893</v>
      </c>
      <c r="G26" s="2">
        <v>45.44</v>
      </c>
      <c r="H26" s="2">
        <f t="shared" si="1"/>
        <v>4.4170027777777792</v>
      </c>
      <c r="I26" s="2">
        <f t="shared" si="2"/>
        <v>9.0300250000000002</v>
      </c>
      <c r="J26" s="2">
        <f t="shared" si="3"/>
        <v>16082.466944444453</v>
      </c>
      <c r="K26" s="2">
        <f t="shared" si="4"/>
        <v>1.6171361111111118</v>
      </c>
      <c r="L26">
        <v>6.1081666666666674</v>
      </c>
      <c r="M26" s="2">
        <f t="shared" si="5"/>
        <v>37.309700027777787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</row>
    <row r="27" spans="1:24" x14ac:dyDescent="0.3">
      <c r="A27" t="s">
        <v>26</v>
      </c>
      <c r="B27" s="2">
        <v>1.1633333333333331</v>
      </c>
      <c r="C27" s="2">
        <v>3.415</v>
      </c>
      <c r="D27" s="2">
        <v>142.51666666666671</v>
      </c>
      <c r="E27" s="2">
        <v>1.96</v>
      </c>
      <c r="F27" s="2">
        <v>67.569444444444443</v>
      </c>
      <c r="G27" s="2">
        <v>55.29</v>
      </c>
      <c r="H27" s="2">
        <f t="shared" si="1"/>
        <v>1.353344444444444</v>
      </c>
      <c r="I27" s="2">
        <f t="shared" si="2"/>
        <v>11.662224999999999</v>
      </c>
      <c r="J27" s="2">
        <f t="shared" si="3"/>
        <v>20311.000277777788</v>
      </c>
      <c r="K27" s="2">
        <f t="shared" si="4"/>
        <v>3.8415999999999997</v>
      </c>
      <c r="L27">
        <v>4.9236666666666666</v>
      </c>
      <c r="M27" s="2">
        <f t="shared" si="5"/>
        <v>24.242493444444445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</row>
    <row r="28" spans="1:24" x14ac:dyDescent="0.3">
      <c r="A28" t="s">
        <v>27</v>
      </c>
      <c r="B28" s="2">
        <v>2.933333333333334</v>
      </c>
      <c r="C28" s="2">
        <v>3.5533333333333328</v>
      </c>
      <c r="D28" s="2">
        <v>133.80000000000001</v>
      </c>
      <c r="E28" s="2">
        <v>1.9016666666666671</v>
      </c>
      <c r="F28" s="2">
        <v>67.222222222222214</v>
      </c>
      <c r="G28" s="2">
        <v>55.07</v>
      </c>
      <c r="H28" s="2">
        <f t="shared" si="1"/>
        <v>8.6044444444444483</v>
      </c>
      <c r="I28" s="2">
        <f t="shared" si="2"/>
        <v>12.626177777777773</v>
      </c>
      <c r="J28" s="2">
        <f t="shared" si="3"/>
        <v>17902.440000000002</v>
      </c>
      <c r="K28" s="2">
        <f t="shared" si="4"/>
        <v>3.6163361111111127</v>
      </c>
      <c r="L28">
        <v>8.0515000000000008</v>
      </c>
      <c r="M28" s="2">
        <f t="shared" si="5"/>
        <v>64.826652250000009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</row>
    <row r="29" spans="1:24" x14ac:dyDescent="0.3">
      <c r="A29" t="s">
        <v>28</v>
      </c>
      <c r="B29" s="2">
        <v>0.59333333333333327</v>
      </c>
      <c r="C29" s="2">
        <v>1.5483333333333329</v>
      </c>
      <c r="D29" s="2">
        <v>113.76666666666669</v>
      </c>
      <c r="E29" s="2">
        <v>1.95</v>
      </c>
      <c r="F29" s="2">
        <v>67.569444444444443</v>
      </c>
      <c r="G29" s="2">
        <v>55.29</v>
      </c>
      <c r="H29" s="2">
        <f t="shared" si="1"/>
        <v>0.35204444444444438</v>
      </c>
      <c r="I29" s="2">
        <f t="shared" si="2"/>
        <v>2.3973361111111098</v>
      </c>
      <c r="J29" s="2">
        <f t="shared" si="3"/>
        <v>12942.854444444451</v>
      </c>
      <c r="K29" s="2">
        <f t="shared" si="4"/>
        <v>3.8024999999999998</v>
      </c>
      <c r="L29">
        <v>4.1866666666666674</v>
      </c>
      <c r="M29" s="2">
        <f t="shared" si="5"/>
        <v>17.528177777777785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</row>
    <row r="30" spans="1:24" x14ac:dyDescent="0.3">
      <c r="A30" t="s">
        <v>29</v>
      </c>
      <c r="B30" s="2">
        <v>2.6666666666666668E-2</v>
      </c>
      <c r="C30" s="2">
        <v>0.61833333333333329</v>
      </c>
      <c r="D30" s="2">
        <v>152.1</v>
      </c>
      <c r="E30" s="2">
        <v>2.2616666666666672</v>
      </c>
      <c r="F30" s="2">
        <v>44.305555555555557</v>
      </c>
      <c r="G30" s="2">
        <v>41.73</v>
      </c>
      <c r="H30" s="2">
        <f t="shared" si="1"/>
        <v>7.1111111111111125E-4</v>
      </c>
      <c r="I30" s="2">
        <f t="shared" si="2"/>
        <v>0.38233611111111104</v>
      </c>
      <c r="J30" s="2">
        <f t="shared" si="3"/>
        <v>23134.41</v>
      </c>
      <c r="K30" s="2">
        <f t="shared" si="4"/>
        <v>5.1151361111111138</v>
      </c>
      <c r="L30">
        <v>2.121666666666667</v>
      </c>
      <c r="M30" s="2">
        <f t="shared" si="5"/>
        <v>4.5014694444444459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</row>
    <row r="31" spans="1:24" x14ac:dyDescent="0.3">
      <c r="A31" t="s">
        <v>30</v>
      </c>
      <c r="B31" s="2">
        <v>0.90833333333333333</v>
      </c>
      <c r="C31" s="2">
        <v>3.3466666666666671</v>
      </c>
      <c r="D31" s="2">
        <v>122.01666666666669</v>
      </c>
      <c r="E31" s="2">
        <v>0.73666666666666669</v>
      </c>
      <c r="F31" s="2">
        <v>58.819444444444443</v>
      </c>
      <c r="G31" s="2">
        <v>50.08</v>
      </c>
      <c r="H31" s="2">
        <f t="shared" si="1"/>
        <v>0.82506944444444441</v>
      </c>
      <c r="I31" s="2">
        <f t="shared" si="2"/>
        <v>11.20017777777778</v>
      </c>
      <c r="J31" s="2">
        <f t="shared" si="3"/>
        <v>14888.066944444452</v>
      </c>
      <c r="K31" s="2">
        <f t="shared" si="4"/>
        <v>0.54267777777777781</v>
      </c>
      <c r="L31">
        <v>4.7458333333333336</v>
      </c>
      <c r="M31" s="2">
        <f t="shared" si="5"/>
        <v>22.522934027777779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</row>
    <row r="32" spans="1:24" x14ac:dyDescent="0.3">
      <c r="A32" t="s">
        <v>31</v>
      </c>
      <c r="B32" s="2">
        <v>3.57</v>
      </c>
      <c r="C32" s="2">
        <v>4.085</v>
      </c>
      <c r="D32" s="2">
        <v>140.81666666666669</v>
      </c>
      <c r="E32" s="2">
        <v>1.7683333333333331</v>
      </c>
      <c r="F32" s="2">
        <v>64.583333333333329</v>
      </c>
      <c r="G32" s="2">
        <v>53.48</v>
      </c>
      <c r="H32" s="2">
        <f t="shared" si="1"/>
        <v>12.744899999999999</v>
      </c>
      <c r="I32" s="2">
        <f t="shared" si="2"/>
        <v>16.687224999999998</v>
      </c>
      <c r="J32" s="2">
        <f t="shared" si="3"/>
        <v>19829.333611111117</v>
      </c>
      <c r="K32" s="2">
        <f t="shared" si="4"/>
        <v>3.1270027777777769</v>
      </c>
      <c r="L32">
        <v>6.3025000000000002</v>
      </c>
      <c r="M32" s="2">
        <f t="shared" si="5"/>
        <v>39.721506250000004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</row>
    <row r="33" spans="1:24" x14ac:dyDescent="0.3">
      <c r="A33" t="s">
        <v>32</v>
      </c>
      <c r="B33" s="2">
        <v>0.41333333333333327</v>
      </c>
      <c r="C33" s="2">
        <v>1.29</v>
      </c>
      <c r="D33" s="2">
        <v>126.26666666666669</v>
      </c>
      <c r="E33" s="2">
        <v>2.2349999999999999</v>
      </c>
      <c r="F33" s="2">
        <v>64.166666666666671</v>
      </c>
      <c r="G33" s="2">
        <v>53.23</v>
      </c>
      <c r="H33" s="2">
        <f t="shared" si="1"/>
        <v>0.17084444444444441</v>
      </c>
      <c r="I33" s="2">
        <f t="shared" si="2"/>
        <v>1.6641000000000001</v>
      </c>
      <c r="J33" s="2">
        <f t="shared" si="3"/>
        <v>15943.271111111118</v>
      </c>
      <c r="K33" s="2">
        <f t="shared" si="4"/>
        <v>4.9952249999999996</v>
      </c>
      <c r="L33">
        <v>3.7751666666666668</v>
      </c>
      <c r="M33" s="2">
        <f t="shared" si="5"/>
        <v>14.251883361111112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</row>
    <row r="34" spans="1:24" x14ac:dyDescent="0.3">
      <c r="A34" t="s">
        <v>33</v>
      </c>
      <c r="B34" s="2">
        <v>1.666666666666667E-3</v>
      </c>
      <c r="C34" s="2">
        <v>0.68166666666666664</v>
      </c>
      <c r="D34" s="2">
        <v>137.30000000000001</v>
      </c>
      <c r="E34" s="2">
        <v>1.2133333333333329</v>
      </c>
      <c r="F34" s="2">
        <v>48.888888888888893</v>
      </c>
      <c r="G34" s="2">
        <v>44.36</v>
      </c>
      <c r="H34" s="2">
        <f t="shared" si="1"/>
        <v>2.7777777777777788E-6</v>
      </c>
      <c r="I34" s="2">
        <f t="shared" si="2"/>
        <v>0.46466944444444441</v>
      </c>
      <c r="J34" s="2">
        <f t="shared" si="3"/>
        <v>18851.290000000005</v>
      </c>
      <c r="K34" s="2">
        <f t="shared" si="4"/>
        <v>1.4721777777777767</v>
      </c>
      <c r="L34">
        <v>2.2925</v>
      </c>
      <c r="M34" s="2">
        <f t="shared" si="5"/>
        <v>5.2555562499999997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</row>
    <row r="35" spans="1:24" x14ac:dyDescent="0.3">
      <c r="A35" t="s">
        <v>34</v>
      </c>
      <c r="B35" s="2">
        <v>1.4750000000000001</v>
      </c>
      <c r="C35" s="2">
        <v>3.5216666666666669</v>
      </c>
      <c r="D35" s="2">
        <v>134.08333333333329</v>
      </c>
      <c r="E35" s="2">
        <v>2.078333333333334</v>
      </c>
      <c r="F35" s="2">
        <v>63.611111111111107</v>
      </c>
      <c r="G35" s="2">
        <v>52.9</v>
      </c>
      <c r="H35" s="2">
        <f t="shared" si="1"/>
        <v>2.1756250000000001</v>
      </c>
      <c r="I35" s="2">
        <f t="shared" si="2"/>
        <v>12.402136111111114</v>
      </c>
      <c r="J35" s="2">
        <f t="shared" si="3"/>
        <v>17978.340277777766</v>
      </c>
      <c r="K35" s="2">
        <f t="shared" si="4"/>
        <v>4.3194694444444472</v>
      </c>
      <c r="L35">
        <v>5.1806666666666663</v>
      </c>
      <c r="M35" s="2">
        <f t="shared" si="5"/>
        <v>26.839307111111108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</row>
    <row r="36" spans="1:24" x14ac:dyDescent="0.3">
      <c r="A36" t="s">
        <v>35</v>
      </c>
      <c r="B36" s="2">
        <v>0.64666666666666672</v>
      </c>
      <c r="C36" s="2">
        <v>1.84</v>
      </c>
      <c r="D36" s="2">
        <v>116.8333333333333</v>
      </c>
      <c r="E36" s="2">
        <v>1.8166666666666671</v>
      </c>
      <c r="F36" s="2">
        <v>67.083333333333329</v>
      </c>
      <c r="G36" s="2">
        <v>54.99</v>
      </c>
      <c r="H36" s="2">
        <f t="shared" si="1"/>
        <v>0.41817777777777787</v>
      </c>
      <c r="I36" s="2">
        <f t="shared" si="2"/>
        <v>3.3856000000000002</v>
      </c>
      <c r="J36" s="2">
        <f t="shared" si="3"/>
        <v>13650.02777777777</v>
      </c>
      <c r="K36" s="2">
        <f t="shared" si="4"/>
        <v>3.3002777777777794</v>
      </c>
      <c r="L36">
        <v>4.5996666666666668</v>
      </c>
      <c r="M36" s="2">
        <f t="shared" si="5"/>
        <v>21.156933444444444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</row>
    <row r="37" spans="1:24" x14ac:dyDescent="0.3">
      <c r="A37" t="s">
        <v>36</v>
      </c>
      <c r="B37" s="2">
        <v>0.45</v>
      </c>
      <c r="C37" s="2">
        <v>1.3866666666666669</v>
      </c>
      <c r="D37" s="2">
        <v>125.4166666666667</v>
      </c>
      <c r="E37" s="2">
        <v>1.845</v>
      </c>
      <c r="F37" s="2">
        <v>66.180555555555557</v>
      </c>
      <c r="G37" s="2">
        <v>54.44</v>
      </c>
      <c r="H37" s="2">
        <f t="shared" si="1"/>
        <v>0.20250000000000001</v>
      </c>
      <c r="I37" s="2">
        <f t="shared" si="2"/>
        <v>1.9228444444444452</v>
      </c>
      <c r="J37" s="2">
        <f t="shared" si="3"/>
        <v>15729.340277777786</v>
      </c>
      <c r="K37" s="2">
        <f t="shared" si="4"/>
        <v>3.4040249999999999</v>
      </c>
      <c r="L37">
        <v>4.418333333333333</v>
      </c>
      <c r="M37" s="2">
        <f t="shared" si="5"/>
        <v>19.521669444444441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</row>
    <row r="38" spans="1:24" x14ac:dyDescent="0.3">
      <c r="A38" t="s">
        <v>37</v>
      </c>
      <c r="B38" s="2">
        <v>0.1183333333333333</v>
      </c>
      <c r="C38" s="2">
        <v>0.53666666666666663</v>
      </c>
      <c r="D38" s="2">
        <v>182.15</v>
      </c>
      <c r="E38" s="2">
        <v>0</v>
      </c>
      <c r="F38" s="2">
        <v>35.902777777777779</v>
      </c>
      <c r="G38" s="2">
        <v>36.81</v>
      </c>
      <c r="H38" s="2">
        <f t="shared" si="1"/>
        <v>1.400277777777777E-2</v>
      </c>
      <c r="I38" s="2">
        <f t="shared" si="2"/>
        <v>0.28801111111111105</v>
      </c>
      <c r="J38" s="2">
        <f t="shared" si="3"/>
        <v>33178.622500000005</v>
      </c>
      <c r="K38" s="2">
        <f t="shared" si="4"/>
        <v>0</v>
      </c>
      <c r="L38">
        <v>2.4148333333333332</v>
      </c>
      <c r="M38" s="2">
        <f t="shared" si="5"/>
        <v>5.831420027777777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</row>
    <row r="39" spans="1:24" x14ac:dyDescent="0.3">
      <c r="A39" t="s">
        <v>38</v>
      </c>
      <c r="B39" s="2">
        <v>1.1166666666666669</v>
      </c>
      <c r="C39" s="2">
        <v>3.3583333333333329</v>
      </c>
      <c r="D39" s="2">
        <v>135.3833333333333</v>
      </c>
      <c r="E39" s="2">
        <v>1.5549999999999999</v>
      </c>
      <c r="F39" s="2">
        <v>48.194444444444443</v>
      </c>
      <c r="G39" s="2">
        <v>43.97</v>
      </c>
      <c r="H39" s="2">
        <f t="shared" si="1"/>
        <v>1.2469444444444451</v>
      </c>
      <c r="I39" s="2">
        <f t="shared" si="2"/>
        <v>11.278402777777774</v>
      </c>
      <c r="J39" s="2">
        <f t="shared" si="3"/>
        <v>18328.646944444434</v>
      </c>
      <c r="K39" s="2">
        <f t="shared" si="4"/>
        <v>2.4180249999999996</v>
      </c>
      <c r="L39">
        <v>5.2380000000000004</v>
      </c>
      <c r="M39" s="2">
        <f t="shared" si="5"/>
        <v>27.436644000000005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</row>
    <row r="40" spans="1:24" x14ac:dyDescent="0.3">
      <c r="A40" t="s">
        <v>39</v>
      </c>
      <c r="B40" s="2">
        <v>2.3266666666666671</v>
      </c>
      <c r="C40" s="2">
        <v>3.5016666666666669</v>
      </c>
      <c r="D40" s="2">
        <v>114.68333333333329</v>
      </c>
      <c r="E40" s="2">
        <v>1.52</v>
      </c>
      <c r="F40" s="2">
        <v>64.097222222222229</v>
      </c>
      <c r="G40" s="2">
        <v>53.19</v>
      </c>
      <c r="H40" s="2">
        <f t="shared" si="1"/>
        <v>5.4133777777777796</v>
      </c>
      <c r="I40" s="2">
        <f t="shared" si="2"/>
        <v>12.261669444444447</v>
      </c>
      <c r="J40" s="2">
        <f t="shared" si="3"/>
        <v>13152.266944444436</v>
      </c>
      <c r="K40" s="2">
        <f t="shared" si="4"/>
        <v>2.3104</v>
      </c>
      <c r="L40">
        <v>7.6448333333333336</v>
      </c>
      <c r="M40" s="2">
        <f t="shared" si="5"/>
        <v>58.443476694444449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</row>
    <row r="41" spans="1:24" x14ac:dyDescent="0.3">
      <c r="A41" t="s">
        <v>40</v>
      </c>
      <c r="B41" s="2">
        <v>1.958333333333333</v>
      </c>
      <c r="C41" s="2">
        <v>4.2216666666666667</v>
      </c>
      <c r="D41" s="2">
        <v>132.23333333333329</v>
      </c>
      <c r="E41" s="2">
        <v>1.4116666666666671</v>
      </c>
      <c r="F41" s="2">
        <v>65.972222222222229</v>
      </c>
      <c r="G41" s="2">
        <v>54.31</v>
      </c>
      <c r="H41" s="2">
        <f t="shared" si="1"/>
        <v>3.8350694444444433</v>
      </c>
      <c r="I41" s="2">
        <f t="shared" si="2"/>
        <v>17.822469444444444</v>
      </c>
      <c r="J41" s="2">
        <f t="shared" si="3"/>
        <v>17485.654444444433</v>
      </c>
      <c r="K41" s="2">
        <f t="shared" si="4"/>
        <v>1.9928027777777788</v>
      </c>
      <c r="L41">
        <v>6.6663333333333332</v>
      </c>
      <c r="M41" s="2">
        <f t="shared" si="5"/>
        <v>44.440000111111111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</row>
  </sheetData>
  <sortState xmlns:xlrd2="http://schemas.microsoft.com/office/spreadsheetml/2017/richdata2" ref="A3:K41">
    <sortCondition ref="A3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7"/>
  <sheetViews>
    <sheetView tabSelected="1" zoomScale="77" zoomScaleNormal="100" workbookViewId="0">
      <selection activeCell="Y24" sqref="Y24"/>
    </sheetView>
  </sheetViews>
  <sheetFormatPr defaultRowHeight="14.4" x14ac:dyDescent="0.3"/>
  <cols>
    <col min="1" max="1" width="36.6640625" bestFit="1" customWidth="1"/>
    <col min="8" max="8" width="11.33203125" bestFit="1" customWidth="1"/>
  </cols>
  <sheetData>
    <row r="1" spans="1:23" x14ac:dyDescent="0.3">
      <c r="A1" t="s">
        <v>0</v>
      </c>
      <c r="B1" s="11" t="s">
        <v>78</v>
      </c>
      <c r="C1" s="12" t="s">
        <v>79</v>
      </c>
      <c r="D1" s="13" t="s">
        <v>45</v>
      </c>
      <c r="E1" s="14" t="s">
        <v>44</v>
      </c>
      <c r="F1" t="s">
        <v>80</v>
      </c>
      <c r="G1" s="15" t="s">
        <v>41</v>
      </c>
      <c r="H1" t="s">
        <v>93</v>
      </c>
      <c r="I1" t="s">
        <v>81</v>
      </c>
      <c r="J1" t="s">
        <v>65</v>
      </c>
      <c r="K1" t="s">
        <v>64</v>
      </c>
      <c r="L1" t="s">
        <v>63</v>
      </c>
      <c r="M1" t="s">
        <v>82</v>
      </c>
      <c r="N1" t="s">
        <v>83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</row>
    <row r="2" spans="1:23" x14ac:dyDescent="0.3">
      <c r="A2" s="16" t="s">
        <v>84</v>
      </c>
      <c r="B2" s="17">
        <v>199.15</v>
      </c>
      <c r="C2" s="18">
        <v>2.3210000000000002</v>
      </c>
      <c r="D2" s="18">
        <v>4.3949999999999996</v>
      </c>
      <c r="E2" s="17">
        <v>0.34666666666666668</v>
      </c>
      <c r="F2" s="17">
        <v>0.26833333333333337</v>
      </c>
      <c r="G2" s="17">
        <v>3.3333333333333335E-3</v>
      </c>
      <c r="H2" s="19">
        <v>16.675685425685423</v>
      </c>
      <c r="I2" s="20">
        <f>B2^2</f>
        <v>39660.722500000003</v>
      </c>
      <c r="J2" s="2">
        <f>E2^2</f>
        <v>0.12017777777777779</v>
      </c>
      <c r="K2" s="2">
        <f>F2^2</f>
        <v>7.2002777777777791E-2</v>
      </c>
      <c r="L2" s="2">
        <f>G2^2</f>
        <v>1.1111111111111113E-5</v>
      </c>
      <c r="M2" s="2">
        <f>F2+G2</f>
        <v>0.27166666666666672</v>
      </c>
      <c r="N2" s="2">
        <f>M2^2</f>
        <v>7.3802777777777814E-2</v>
      </c>
      <c r="O2" s="9">
        <v>1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</row>
    <row r="3" spans="1:23" x14ac:dyDescent="0.3">
      <c r="A3" s="16" t="s">
        <v>3</v>
      </c>
      <c r="B3" s="17">
        <v>155.23333333333332</v>
      </c>
      <c r="C3" s="18">
        <v>5.6393999999999993</v>
      </c>
      <c r="D3" s="18">
        <v>4.0380000000000003</v>
      </c>
      <c r="E3" s="17">
        <v>1.5149999999999999</v>
      </c>
      <c r="F3" s="17">
        <v>2.6983333333333337</v>
      </c>
      <c r="G3" s="17">
        <v>1.02</v>
      </c>
      <c r="H3" s="19">
        <v>46.843434343434332</v>
      </c>
      <c r="I3" s="20">
        <f t="shared" ref="I3:I37" si="0">B3^2</f>
        <v>24097.387777777774</v>
      </c>
      <c r="J3" s="2">
        <f t="shared" ref="J3:L37" si="1">E3^2</f>
        <v>2.2952249999999998</v>
      </c>
      <c r="K3" s="2">
        <f t="shared" si="1"/>
        <v>7.2810027777777799</v>
      </c>
      <c r="L3" s="2">
        <f t="shared" si="1"/>
        <v>1.0404</v>
      </c>
      <c r="M3" s="2">
        <f t="shared" ref="M3:M37" si="2">F3+G3</f>
        <v>3.7183333333333337</v>
      </c>
      <c r="N3" s="2">
        <f t="shared" ref="N3:N37" si="3">M3^2</f>
        <v>13.826002777777781</v>
      </c>
      <c r="O3" s="9">
        <v>1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</row>
    <row r="4" spans="1:23" x14ac:dyDescent="0.3">
      <c r="A4" s="16" t="s">
        <v>4</v>
      </c>
      <c r="B4" s="17">
        <v>134.4</v>
      </c>
      <c r="C4" s="18">
        <v>6.6719999999999997</v>
      </c>
      <c r="D4" s="18">
        <v>4.1866666666666665</v>
      </c>
      <c r="E4" s="17">
        <v>0.89</v>
      </c>
      <c r="F4" s="17">
        <v>3.4833333333333329</v>
      </c>
      <c r="G4" s="17">
        <v>1.8650000000000002</v>
      </c>
      <c r="H4" s="19">
        <v>51.243686868686872</v>
      </c>
      <c r="I4" s="20">
        <f t="shared" si="0"/>
        <v>18063.36</v>
      </c>
      <c r="J4" s="2">
        <f t="shared" si="1"/>
        <v>0.79210000000000003</v>
      </c>
      <c r="K4" s="2">
        <f t="shared" si="1"/>
        <v>12.133611111111108</v>
      </c>
      <c r="L4" s="2">
        <f t="shared" si="1"/>
        <v>3.478225000000001</v>
      </c>
      <c r="M4" s="2">
        <f t="shared" si="2"/>
        <v>5.3483333333333327</v>
      </c>
      <c r="N4" s="2">
        <f t="shared" si="3"/>
        <v>28.604669444444436</v>
      </c>
      <c r="O4" s="9">
        <v>1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</row>
    <row r="5" spans="1:23" x14ac:dyDescent="0.3">
      <c r="A5" s="16" t="s">
        <v>5</v>
      </c>
      <c r="B5" s="17">
        <v>147.56666666666666</v>
      </c>
      <c r="C5" s="18">
        <v>6.5998333333333328</v>
      </c>
      <c r="D5" s="18">
        <v>3.9883333333333333</v>
      </c>
      <c r="E5" s="17">
        <v>0.33333333333333331</v>
      </c>
      <c r="F5" s="17">
        <v>4.2350000000000003</v>
      </c>
      <c r="G5" s="17">
        <v>2.5733333333333333</v>
      </c>
      <c r="H5" s="19">
        <v>57.483766233766232</v>
      </c>
      <c r="I5" s="20">
        <f t="shared" si="0"/>
        <v>21775.921111111111</v>
      </c>
      <c r="J5" s="2">
        <f t="shared" si="1"/>
        <v>0.1111111111111111</v>
      </c>
      <c r="K5" s="2">
        <f t="shared" si="1"/>
        <v>17.935225000000003</v>
      </c>
      <c r="L5" s="2">
        <f t="shared" si="1"/>
        <v>6.6220444444444437</v>
      </c>
      <c r="M5" s="2">
        <f t="shared" si="2"/>
        <v>6.8083333333333336</v>
      </c>
      <c r="N5" s="2">
        <f t="shared" si="3"/>
        <v>46.353402777777781</v>
      </c>
      <c r="O5" s="9">
        <v>1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</row>
    <row r="6" spans="1:23" x14ac:dyDescent="0.3">
      <c r="A6" t="s">
        <v>85</v>
      </c>
      <c r="B6" s="2">
        <v>147.54999999999998</v>
      </c>
      <c r="C6" s="21">
        <v>4.2358333333333329</v>
      </c>
      <c r="D6" s="21">
        <v>3.8400000000000003</v>
      </c>
      <c r="E6" s="2">
        <v>1.6583333333333332</v>
      </c>
      <c r="F6" s="2">
        <v>1.9716666666666665</v>
      </c>
      <c r="G6" s="2">
        <v>1.3666666666666669</v>
      </c>
      <c r="H6" s="20">
        <v>59.583333333333336</v>
      </c>
      <c r="I6" s="20">
        <f t="shared" si="0"/>
        <v>21771.002499999995</v>
      </c>
      <c r="J6" s="2">
        <f t="shared" si="1"/>
        <v>2.7500694444444442</v>
      </c>
      <c r="K6" s="2">
        <f t="shared" si="1"/>
        <v>3.8874694444444438</v>
      </c>
      <c r="L6" s="2">
        <f t="shared" si="1"/>
        <v>1.8677777777777784</v>
      </c>
      <c r="M6" s="2">
        <f t="shared" si="2"/>
        <v>3.3383333333333334</v>
      </c>
      <c r="N6" s="2">
        <f t="shared" si="3"/>
        <v>11.144469444444445</v>
      </c>
      <c r="O6" s="9">
        <v>0</v>
      </c>
      <c r="P6" s="9">
        <v>1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</row>
    <row r="7" spans="1:23" x14ac:dyDescent="0.3">
      <c r="A7" t="s">
        <v>9</v>
      </c>
      <c r="B7" s="2">
        <v>123.43333333333334</v>
      </c>
      <c r="C7" s="21">
        <v>7.6444999999999999</v>
      </c>
      <c r="D7" s="21">
        <v>3.855</v>
      </c>
      <c r="E7" s="2">
        <v>1.4050000000000002</v>
      </c>
      <c r="F7" s="2">
        <v>4.7450000000000001</v>
      </c>
      <c r="G7" s="2">
        <v>2.7866666666666666</v>
      </c>
      <c r="H7" s="20">
        <v>66.111111111111114</v>
      </c>
      <c r="I7" s="20">
        <f t="shared" si="0"/>
        <v>15235.787777777779</v>
      </c>
      <c r="J7" s="2">
        <f t="shared" si="1"/>
        <v>1.9740250000000008</v>
      </c>
      <c r="K7" s="2">
        <f t="shared" si="1"/>
        <v>22.515025000000001</v>
      </c>
      <c r="L7" s="2">
        <f t="shared" si="1"/>
        <v>7.7655111111111106</v>
      </c>
      <c r="M7" s="2">
        <f t="shared" si="2"/>
        <v>7.5316666666666663</v>
      </c>
      <c r="N7" s="2">
        <f t="shared" si="3"/>
        <v>56.726002777777772</v>
      </c>
      <c r="O7" s="9">
        <v>0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</row>
    <row r="8" spans="1:23" x14ac:dyDescent="0.3">
      <c r="A8" t="s">
        <v>10</v>
      </c>
      <c r="B8" s="2">
        <v>114.48333333333333</v>
      </c>
      <c r="C8" s="21">
        <v>9.0151666666666674</v>
      </c>
      <c r="D8" s="21">
        <v>3.8850000000000002</v>
      </c>
      <c r="E8" s="2">
        <v>1.5866666666666667</v>
      </c>
      <c r="F8" s="2">
        <v>4.7616666666666667</v>
      </c>
      <c r="G8" s="2">
        <v>4.3083333333333327</v>
      </c>
      <c r="H8" s="20">
        <v>68.115079365079382</v>
      </c>
      <c r="I8" s="20">
        <f t="shared" si="0"/>
        <v>13106.433611111112</v>
      </c>
      <c r="J8" s="2">
        <f t="shared" si="1"/>
        <v>2.5175111111111113</v>
      </c>
      <c r="K8" s="2">
        <f t="shared" si="1"/>
        <v>22.673469444444446</v>
      </c>
      <c r="L8" s="2">
        <f t="shared" si="1"/>
        <v>18.561736111111106</v>
      </c>
      <c r="M8" s="2">
        <f t="shared" si="2"/>
        <v>9.07</v>
      </c>
      <c r="N8" s="2">
        <f t="shared" si="3"/>
        <v>82.264900000000011</v>
      </c>
      <c r="O8" s="9">
        <v>0</v>
      </c>
      <c r="P8" s="9">
        <v>1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</row>
    <row r="9" spans="1:23" x14ac:dyDescent="0.3">
      <c r="A9" t="s">
        <v>11</v>
      </c>
      <c r="B9" s="2">
        <v>126.05000000000001</v>
      </c>
      <c r="C9" s="21">
        <v>8.2948333333333331</v>
      </c>
      <c r="D9" s="21">
        <v>3.811666666666667</v>
      </c>
      <c r="E9" s="2">
        <v>0.89166666666666661</v>
      </c>
      <c r="F9" s="2">
        <v>5.0983333333333336</v>
      </c>
      <c r="G9" s="2">
        <v>3.1216666666666666</v>
      </c>
      <c r="H9" s="20">
        <v>70.833333333333329</v>
      </c>
      <c r="I9" s="20">
        <f t="shared" si="0"/>
        <v>15888.602500000003</v>
      </c>
      <c r="J9" s="2">
        <f t="shared" si="1"/>
        <v>0.79506944444444438</v>
      </c>
      <c r="K9" s="2">
        <f t="shared" si="1"/>
        <v>25.993002777777779</v>
      </c>
      <c r="L9" s="2">
        <f t="shared" si="1"/>
        <v>9.7448027777777781</v>
      </c>
      <c r="M9" s="2">
        <f t="shared" si="2"/>
        <v>8.2200000000000006</v>
      </c>
      <c r="N9" s="2">
        <f t="shared" si="3"/>
        <v>67.568400000000011</v>
      </c>
      <c r="O9" s="9">
        <v>0</v>
      </c>
      <c r="P9" s="9">
        <v>1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</row>
    <row r="10" spans="1:23" x14ac:dyDescent="0.3">
      <c r="A10" s="16" t="s">
        <v>86</v>
      </c>
      <c r="B10" s="17">
        <v>185.19999999999996</v>
      </c>
      <c r="C10" s="18">
        <v>2.1999999999999997</v>
      </c>
      <c r="D10" s="18">
        <v>3.8333333333333335</v>
      </c>
      <c r="E10" s="17">
        <v>0.69333333333333336</v>
      </c>
      <c r="F10" s="17">
        <v>0.24666666666666667</v>
      </c>
      <c r="G10" s="17">
        <v>1.6666666666666668E-3</v>
      </c>
      <c r="H10" s="19">
        <v>19.004629629629626</v>
      </c>
      <c r="I10" s="20">
        <f t="shared" si="0"/>
        <v>34299.039999999986</v>
      </c>
      <c r="J10" s="2">
        <f t="shared" si="1"/>
        <v>0.48071111111111114</v>
      </c>
      <c r="K10" s="2">
        <f t="shared" si="1"/>
        <v>6.0844444444444451E-2</v>
      </c>
      <c r="L10" s="2">
        <f t="shared" si="1"/>
        <v>2.7777777777777783E-6</v>
      </c>
      <c r="M10" s="2">
        <f t="shared" si="2"/>
        <v>0.24833333333333335</v>
      </c>
      <c r="N10" s="2">
        <f t="shared" si="3"/>
        <v>6.166944444444445E-2</v>
      </c>
      <c r="O10" s="9">
        <v>0</v>
      </c>
      <c r="P10" s="9">
        <v>0</v>
      </c>
      <c r="Q10" s="9">
        <v>1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</row>
    <row r="11" spans="1:23" x14ac:dyDescent="0.3">
      <c r="A11" s="16" t="s">
        <v>13</v>
      </c>
      <c r="B11" s="17">
        <v>137.03333333333333</v>
      </c>
      <c r="C11" s="18">
        <v>6.6711666666666671</v>
      </c>
      <c r="D11" s="18">
        <v>3.9433333333333334</v>
      </c>
      <c r="E11" s="17">
        <v>1.1233333333333333</v>
      </c>
      <c r="F11" s="17">
        <v>4.0949999999999998</v>
      </c>
      <c r="G11" s="17">
        <v>2.105</v>
      </c>
      <c r="H11" s="19">
        <v>55.06944444444445</v>
      </c>
      <c r="I11" s="20">
        <f t="shared" si="0"/>
        <v>18778.134444444444</v>
      </c>
      <c r="J11" s="2">
        <f t="shared" si="1"/>
        <v>1.2618777777777777</v>
      </c>
      <c r="K11" s="2">
        <f t="shared" si="1"/>
        <v>16.769024999999999</v>
      </c>
      <c r="L11" s="2">
        <f t="shared" si="1"/>
        <v>4.431025</v>
      </c>
      <c r="M11" s="2">
        <f t="shared" si="2"/>
        <v>6.1999999999999993</v>
      </c>
      <c r="N11" s="2">
        <f t="shared" si="3"/>
        <v>38.439999999999991</v>
      </c>
      <c r="O11" s="9">
        <v>0</v>
      </c>
      <c r="P11" s="9">
        <v>0</v>
      </c>
      <c r="Q11" s="9">
        <v>1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</row>
    <row r="12" spans="1:23" x14ac:dyDescent="0.3">
      <c r="A12" s="16" t="s">
        <v>14</v>
      </c>
      <c r="B12" s="17">
        <v>132.00000000000003</v>
      </c>
      <c r="C12" s="18">
        <v>6.1544999999999996</v>
      </c>
      <c r="D12" s="18">
        <v>4.2350000000000003</v>
      </c>
      <c r="E12" s="17">
        <v>1.4799999999999998</v>
      </c>
      <c r="F12" s="17">
        <v>3.8666666666666667</v>
      </c>
      <c r="G12" s="17">
        <v>1.8566666666666665</v>
      </c>
      <c r="H12" s="19">
        <v>60.694444444444457</v>
      </c>
      <c r="I12" s="20">
        <f t="shared" si="0"/>
        <v>17424.000000000007</v>
      </c>
      <c r="J12" s="2">
        <f t="shared" si="1"/>
        <v>2.1903999999999995</v>
      </c>
      <c r="K12" s="2">
        <f t="shared" si="1"/>
        <v>14.951111111111111</v>
      </c>
      <c r="L12" s="2">
        <f t="shared" si="1"/>
        <v>3.4472111111111103</v>
      </c>
      <c r="M12" s="2">
        <f t="shared" si="2"/>
        <v>5.7233333333333327</v>
      </c>
      <c r="N12" s="2">
        <f t="shared" si="3"/>
        <v>32.756544444444437</v>
      </c>
      <c r="O12" s="9">
        <v>0</v>
      </c>
      <c r="P12" s="9">
        <v>0</v>
      </c>
      <c r="Q12" s="9">
        <v>1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</row>
    <row r="13" spans="1:23" x14ac:dyDescent="0.3">
      <c r="A13" s="16" t="s">
        <v>15</v>
      </c>
      <c r="B13" s="17">
        <v>164.16666666666666</v>
      </c>
      <c r="C13" s="18">
        <v>6.1203999999999992</v>
      </c>
      <c r="D13" s="18">
        <v>3.9516666666666662</v>
      </c>
      <c r="E13" s="17">
        <v>0.44166666666666665</v>
      </c>
      <c r="F13" s="17">
        <v>4.1383333333333328</v>
      </c>
      <c r="G13" s="17">
        <v>1.6116666666666666</v>
      </c>
      <c r="H13" s="19">
        <v>57.222222222222221</v>
      </c>
      <c r="I13" s="20">
        <f t="shared" si="0"/>
        <v>26950.694444444442</v>
      </c>
      <c r="J13" s="2">
        <f t="shared" si="1"/>
        <v>0.19506944444444443</v>
      </c>
      <c r="K13" s="2">
        <f t="shared" si="1"/>
        <v>17.125802777777771</v>
      </c>
      <c r="L13" s="2">
        <f t="shared" si="1"/>
        <v>2.5974694444444442</v>
      </c>
      <c r="M13" s="2">
        <f t="shared" si="2"/>
        <v>5.7499999999999991</v>
      </c>
      <c r="N13" s="2">
        <f t="shared" si="3"/>
        <v>33.062499999999993</v>
      </c>
      <c r="O13" s="9">
        <v>0</v>
      </c>
      <c r="P13" s="9">
        <v>0</v>
      </c>
      <c r="Q13" s="9">
        <v>1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</row>
    <row r="14" spans="1:23" x14ac:dyDescent="0.3">
      <c r="A14" t="s">
        <v>87</v>
      </c>
      <c r="B14" s="2">
        <v>160.66666666666666</v>
      </c>
      <c r="C14" s="21">
        <v>2.036</v>
      </c>
      <c r="D14" s="21">
        <v>3.7349999999999999</v>
      </c>
      <c r="E14" s="2">
        <v>0.15166666666666664</v>
      </c>
      <c r="F14" s="2">
        <v>0.64166666666666661</v>
      </c>
      <c r="G14" s="2">
        <v>0.01</v>
      </c>
      <c r="H14" s="20">
        <v>43.397366522366525</v>
      </c>
      <c r="I14" s="20">
        <f t="shared" si="0"/>
        <v>25813.777777777774</v>
      </c>
      <c r="J14" s="2">
        <f t="shared" si="1"/>
        <v>2.3002777777777771E-2</v>
      </c>
      <c r="K14" s="2">
        <f t="shared" si="1"/>
        <v>0.41173611111111103</v>
      </c>
      <c r="L14" s="2">
        <f t="shared" si="1"/>
        <v>1E-4</v>
      </c>
      <c r="M14" s="2">
        <f t="shared" si="2"/>
        <v>0.65166666666666662</v>
      </c>
      <c r="N14" s="2">
        <f t="shared" si="3"/>
        <v>0.42466944444444438</v>
      </c>
      <c r="O14" s="9">
        <v>0</v>
      </c>
      <c r="P14" s="9">
        <v>0</v>
      </c>
      <c r="Q14" s="9">
        <v>0</v>
      </c>
      <c r="R14" s="9">
        <v>1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</row>
    <row r="15" spans="1:23" x14ac:dyDescent="0.3">
      <c r="A15" t="s">
        <v>18</v>
      </c>
      <c r="B15" s="2">
        <v>140.83333333333334</v>
      </c>
      <c r="C15" s="21">
        <v>3.2063333333333333</v>
      </c>
      <c r="D15" s="21">
        <v>3.8299999999999996</v>
      </c>
      <c r="E15" s="2">
        <v>2.0016666666666665</v>
      </c>
      <c r="F15" s="2">
        <v>2.11</v>
      </c>
      <c r="G15" s="2">
        <v>0.44833333333333331</v>
      </c>
      <c r="H15" s="20">
        <v>57.588383838383834</v>
      </c>
      <c r="I15" s="20">
        <f t="shared" si="0"/>
        <v>19834.027777777781</v>
      </c>
      <c r="J15" s="2">
        <f t="shared" si="1"/>
        <v>4.0066694444444435</v>
      </c>
      <c r="K15" s="2">
        <f t="shared" si="1"/>
        <v>4.4520999999999997</v>
      </c>
      <c r="L15" s="2">
        <f t="shared" si="1"/>
        <v>0.20100277777777775</v>
      </c>
      <c r="M15" s="2">
        <f t="shared" si="2"/>
        <v>2.5583333333333331</v>
      </c>
      <c r="N15" s="2">
        <f t="shared" si="3"/>
        <v>6.5450694444444437</v>
      </c>
      <c r="O15" s="9">
        <v>0</v>
      </c>
      <c r="P15" s="9">
        <v>0</v>
      </c>
      <c r="Q15" s="9">
        <v>0</v>
      </c>
      <c r="R15" s="9">
        <v>1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</row>
    <row r="16" spans="1:23" x14ac:dyDescent="0.3">
      <c r="A16" t="s">
        <v>19</v>
      </c>
      <c r="B16" s="2">
        <v>124.83333333333333</v>
      </c>
      <c r="C16" s="21">
        <v>4.0881666666666669</v>
      </c>
      <c r="D16" s="21">
        <v>4.1583333333333332</v>
      </c>
      <c r="E16" s="2">
        <v>2.6716666666666669</v>
      </c>
      <c r="F16" s="2">
        <v>1.37</v>
      </c>
      <c r="G16" s="2">
        <v>0.45500000000000002</v>
      </c>
      <c r="H16" s="20">
        <v>64.662698412698418</v>
      </c>
      <c r="I16" s="20">
        <f t="shared" si="0"/>
        <v>15583.361111111109</v>
      </c>
      <c r="J16" s="2">
        <f t="shared" si="1"/>
        <v>7.1378027777777788</v>
      </c>
      <c r="K16" s="2">
        <f t="shared" si="1"/>
        <v>1.8769000000000002</v>
      </c>
      <c r="L16" s="2">
        <f t="shared" si="1"/>
        <v>0.20702500000000001</v>
      </c>
      <c r="M16" s="2">
        <f t="shared" si="2"/>
        <v>1.8250000000000002</v>
      </c>
      <c r="N16" s="2">
        <f t="shared" si="3"/>
        <v>3.3306250000000008</v>
      </c>
      <c r="O16" s="9">
        <v>0</v>
      </c>
      <c r="P16" s="9">
        <v>0</v>
      </c>
      <c r="Q16" s="9">
        <v>0</v>
      </c>
      <c r="R16" s="9">
        <v>1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</row>
    <row r="17" spans="1:23" x14ac:dyDescent="0.3">
      <c r="A17" t="s">
        <v>20</v>
      </c>
      <c r="B17" s="2">
        <v>131.53333333333333</v>
      </c>
      <c r="C17" s="21">
        <v>3.3003333333333331</v>
      </c>
      <c r="D17" s="21">
        <v>4.3216666666666663</v>
      </c>
      <c r="E17" s="2">
        <v>1.9549999999999998</v>
      </c>
      <c r="F17" s="2">
        <v>1.2083333333333333</v>
      </c>
      <c r="G17" s="2">
        <v>0.28999999999999998</v>
      </c>
      <c r="H17" s="20">
        <v>59.49404761904762</v>
      </c>
      <c r="I17" s="20">
        <f t="shared" si="0"/>
        <v>17301.017777777779</v>
      </c>
      <c r="J17" s="2">
        <f t="shared" si="1"/>
        <v>3.8220249999999996</v>
      </c>
      <c r="K17" s="2">
        <f t="shared" si="1"/>
        <v>1.4600694444444442</v>
      </c>
      <c r="L17" s="2">
        <f t="shared" si="1"/>
        <v>8.4099999999999994E-2</v>
      </c>
      <c r="M17" s="2">
        <f t="shared" si="2"/>
        <v>1.4983333333333333</v>
      </c>
      <c r="N17" s="2">
        <f t="shared" si="3"/>
        <v>2.2450027777777777</v>
      </c>
      <c r="O17" s="9">
        <v>0</v>
      </c>
      <c r="P17" s="9">
        <v>0</v>
      </c>
      <c r="Q17" s="9">
        <v>0</v>
      </c>
      <c r="R17" s="9">
        <v>1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</row>
    <row r="18" spans="1:23" x14ac:dyDescent="0.3">
      <c r="A18" s="16" t="s">
        <v>88</v>
      </c>
      <c r="B18" s="17">
        <v>135.15</v>
      </c>
      <c r="C18" s="18">
        <v>2.468</v>
      </c>
      <c r="D18" s="18">
        <v>3.7733333333333334</v>
      </c>
      <c r="E18" s="17">
        <v>0.67166666666666652</v>
      </c>
      <c r="F18" s="17">
        <v>0.97166666666666668</v>
      </c>
      <c r="G18" s="17">
        <v>0.3</v>
      </c>
      <c r="H18" s="19">
        <v>53.055555555555564</v>
      </c>
      <c r="I18" s="20">
        <f t="shared" si="0"/>
        <v>18265.522500000003</v>
      </c>
      <c r="J18" s="2">
        <f t="shared" si="1"/>
        <v>0.4511361111111109</v>
      </c>
      <c r="K18" s="2">
        <f t="shared" si="1"/>
        <v>0.94413611111111118</v>
      </c>
      <c r="L18" s="2">
        <f t="shared" si="1"/>
        <v>0.09</v>
      </c>
      <c r="M18" s="2">
        <f t="shared" si="2"/>
        <v>1.2716666666666667</v>
      </c>
      <c r="N18" s="2">
        <f t="shared" si="3"/>
        <v>1.6171361111111113</v>
      </c>
      <c r="O18" s="9">
        <v>0</v>
      </c>
      <c r="P18" s="9">
        <v>0</v>
      </c>
      <c r="Q18" s="9">
        <v>0</v>
      </c>
      <c r="R18" s="9">
        <v>0</v>
      </c>
      <c r="S18" s="9">
        <v>1</v>
      </c>
      <c r="T18" s="9">
        <v>0</v>
      </c>
      <c r="U18" s="9">
        <v>0</v>
      </c>
      <c r="V18" s="9">
        <v>0</v>
      </c>
      <c r="W18" s="9">
        <v>0</v>
      </c>
    </row>
    <row r="19" spans="1:23" x14ac:dyDescent="0.3">
      <c r="A19" s="16" t="s">
        <v>22</v>
      </c>
      <c r="B19" s="17">
        <v>117.5</v>
      </c>
      <c r="C19" s="18">
        <v>7.1173333333333337</v>
      </c>
      <c r="D19" s="18">
        <v>3.8033333333333332</v>
      </c>
      <c r="E19" s="17">
        <v>1.61</v>
      </c>
      <c r="F19" s="17">
        <v>4.2149999999999999</v>
      </c>
      <c r="G19" s="17">
        <v>1.9233333333333331</v>
      </c>
      <c r="H19" s="19">
        <v>64.384920634920647</v>
      </c>
      <c r="I19" s="20">
        <f t="shared" si="0"/>
        <v>13806.25</v>
      </c>
      <c r="J19" s="2">
        <f t="shared" si="1"/>
        <v>2.5921000000000003</v>
      </c>
      <c r="K19" s="2">
        <f t="shared" si="1"/>
        <v>17.766224999999999</v>
      </c>
      <c r="L19" s="2">
        <f t="shared" si="1"/>
        <v>3.6992111111111101</v>
      </c>
      <c r="M19" s="2">
        <f t="shared" si="2"/>
        <v>6.1383333333333328</v>
      </c>
      <c r="N19" s="2">
        <f t="shared" si="3"/>
        <v>37.679136111111106</v>
      </c>
      <c r="O19" s="9">
        <v>0</v>
      </c>
      <c r="P19" s="9">
        <v>0</v>
      </c>
      <c r="Q19" s="9">
        <v>0</v>
      </c>
      <c r="R19" s="9">
        <v>0</v>
      </c>
      <c r="S19" s="9">
        <v>1</v>
      </c>
      <c r="T19" s="9">
        <v>0</v>
      </c>
      <c r="U19" s="9">
        <v>0</v>
      </c>
      <c r="V19" s="9">
        <v>0</v>
      </c>
      <c r="W19" s="9">
        <v>0</v>
      </c>
    </row>
    <row r="20" spans="1:23" x14ac:dyDescent="0.3">
      <c r="A20" s="16" t="s">
        <v>23</v>
      </c>
      <c r="B20" s="17">
        <v>124.28333333333332</v>
      </c>
      <c r="C20" s="18">
        <v>9.1053333333333324</v>
      </c>
      <c r="D20" s="18">
        <v>3.7850000000000001</v>
      </c>
      <c r="E20" s="17">
        <v>1.7033333333333334</v>
      </c>
      <c r="F20" s="17">
        <v>4.5599999999999996</v>
      </c>
      <c r="G20" s="17">
        <v>3.9966666666666661</v>
      </c>
      <c r="H20" s="19">
        <v>69.74747474747474</v>
      </c>
      <c r="I20" s="20">
        <f t="shared" si="0"/>
        <v>15446.34694444444</v>
      </c>
      <c r="J20" s="2">
        <f t="shared" si="1"/>
        <v>2.9013444444444447</v>
      </c>
      <c r="K20" s="2">
        <f t="shared" si="1"/>
        <v>20.793599999999998</v>
      </c>
      <c r="L20" s="2">
        <f t="shared" si="1"/>
        <v>15.973344444444439</v>
      </c>
      <c r="M20" s="2">
        <f t="shared" si="2"/>
        <v>8.5566666666666649</v>
      </c>
      <c r="N20" s="2">
        <f t="shared" si="3"/>
        <v>73.216544444444409</v>
      </c>
      <c r="O20" s="9">
        <v>0</v>
      </c>
      <c r="P20" s="9">
        <v>0</v>
      </c>
      <c r="Q20" s="9">
        <v>0</v>
      </c>
      <c r="R20" s="9">
        <v>0</v>
      </c>
      <c r="S20" s="9">
        <v>1</v>
      </c>
      <c r="T20" s="9">
        <v>0</v>
      </c>
      <c r="U20" s="9">
        <v>0</v>
      </c>
      <c r="V20" s="9">
        <v>0</v>
      </c>
      <c r="W20" s="9">
        <v>0</v>
      </c>
    </row>
    <row r="21" spans="1:23" x14ac:dyDescent="0.3">
      <c r="A21" s="16" t="s">
        <v>24</v>
      </c>
      <c r="B21" s="17">
        <v>129.66666666666666</v>
      </c>
      <c r="C21" s="18">
        <v>7.1030000000000006</v>
      </c>
      <c r="D21" s="18">
        <v>3.8600000000000008</v>
      </c>
      <c r="E21" s="17">
        <v>0.94000000000000006</v>
      </c>
      <c r="F21" s="17">
        <v>4.5216666666666665</v>
      </c>
      <c r="G21" s="17">
        <v>2.0416666666666665</v>
      </c>
      <c r="H21" s="19">
        <v>70.373376623376629</v>
      </c>
      <c r="I21" s="20">
        <f t="shared" si="0"/>
        <v>16813.444444444442</v>
      </c>
      <c r="J21" s="2">
        <f t="shared" si="1"/>
        <v>0.88360000000000016</v>
      </c>
      <c r="K21" s="2">
        <f t="shared" si="1"/>
        <v>20.445469444444441</v>
      </c>
      <c r="L21" s="2">
        <f t="shared" si="1"/>
        <v>4.1684027777777768</v>
      </c>
      <c r="M21" s="2">
        <f t="shared" si="2"/>
        <v>6.5633333333333326</v>
      </c>
      <c r="N21" s="2">
        <f t="shared" si="3"/>
        <v>43.077344444444435</v>
      </c>
      <c r="O21" s="9">
        <v>0</v>
      </c>
      <c r="P21" s="9">
        <v>0</v>
      </c>
      <c r="Q21" s="9">
        <v>0</v>
      </c>
      <c r="R21" s="9">
        <v>0</v>
      </c>
      <c r="S21" s="9">
        <v>1</v>
      </c>
      <c r="T21" s="9">
        <v>0</v>
      </c>
      <c r="U21" s="9">
        <v>0</v>
      </c>
      <c r="V21" s="9">
        <v>0</v>
      </c>
      <c r="W21" s="9">
        <v>0</v>
      </c>
    </row>
    <row r="22" spans="1:23" x14ac:dyDescent="0.3">
      <c r="A22" t="s">
        <v>89</v>
      </c>
      <c r="B22" s="2">
        <v>126.81666666666668</v>
      </c>
      <c r="C22" s="21">
        <v>6.1081666666666665</v>
      </c>
      <c r="D22" s="21">
        <v>3.6649999999999996</v>
      </c>
      <c r="E22" s="2">
        <v>1.2716666666666667</v>
      </c>
      <c r="F22" s="2">
        <v>3.0050000000000003</v>
      </c>
      <c r="G22" s="2">
        <v>2.101666666666667</v>
      </c>
      <c r="H22" s="20">
        <v>52.877886002886008</v>
      </c>
      <c r="I22" s="20">
        <f t="shared" si="0"/>
        <v>16082.466944444446</v>
      </c>
      <c r="J22" s="2">
        <f t="shared" si="1"/>
        <v>1.6171361111111113</v>
      </c>
      <c r="K22" s="2">
        <f t="shared" si="1"/>
        <v>9.030025000000002</v>
      </c>
      <c r="L22" s="2">
        <f t="shared" si="1"/>
        <v>4.4170027777777792</v>
      </c>
      <c r="M22" s="2">
        <f t="shared" si="2"/>
        <v>5.1066666666666674</v>
      </c>
      <c r="N22" s="2">
        <f t="shared" si="3"/>
        <v>26.078044444444451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</v>
      </c>
      <c r="U22" s="9">
        <v>0</v>
      </c>
      <c r="V22" s="9">
        <v>0</v>
      </c>
      <c r="W22" s="9">
        <v>0</v>
      </c>
    </row>
    <row r="23" spans="1:23" x14ac:dyDescent="0.3">
      <c r="A23" t="s">
        <v>26</v>
      </c>
      <c r="B23" s="2">
        <v>142.51666666666668</v>
      </c>
      <c r="C23" s="21">
        <v>4.9236666666666666</v>
      </c>
      <c r="D23" s="21">
        <v>3.9683333333333337</v>
      </c>
      <c r="E23" s="2">
        <v>1.96</v>
      </c>
      <c r="F23" s="2">
        <v>3.4149999999999996</v>
      </c>
      <c r="G23" s="2">
        <v>1.1633333333333333</v>
      </c>
      <c r="H23" s="20">
        <v>67.569444444444443</v>
      </c>
      <c r="I23" s="20">
        <f t="shared" si="0"/>
        <v>20311.000277777781</v>
      </c>
      <c r="J23" s="2">
        <f t="shared" si="1"/>
        <v>3.8415999999999997</v>
      </c>
      <c r="K23" s="2">
        <f t="shared" si="1"/>
        <v>11.662224999999998</v>
      </c>
      <c r="L23" s="2">
        <f t="shared" si="1"/>
        <v>1.3533444444444445</v>
      </c>
      <c r="M23" s="2">
        <f t="shared" si="2"/>
        <v>4.5783333333333331</v>
      </c>
      <c r="N23" s="2">
        <f t="shared" si="3"/>
        <v>20.961136111111109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1</v>
      </c>
      <c r="U23" s="9">
        <v>0</v>
      </c>
      <c r="V23" s="9">
        <v>0</v>
      </c>
      <c r="W23" s="9">
        <v>0</v>
      </c>
    </row>
    <row r="24" spans="1:23" x14ac:dyDescent="0.3">
      <c r="A24" t="s">
        <v>27</v>
      </c>
      <c r="B24" s="2">
        <v>133.80000000000001</v>
      </c>
      <c r="C24" s="21">
        <v>8.051499999999999</v>
      </c>
      <c r="D24" s="21">
        <v>3.8250000000000006</v>
      </c>
      <c r="E24" s="2">
        <v>1.9016666666666666</v>
      </c>
      <c r="F24" s="2">
        <v>3.5533333333333332</v>
      </c>
      <c r="G24" s="2">
        <v>2.9333333333333336</v>
      </c>
      <c r="H24" s="20">
        <v>68.232323232323225</v>
      </c>
      <c r="I24" s="20">
        <f t="shared" si="0"/>
        <v>17902.440000000002</v>
      </c>
      <c r="J24" s="2">
        <f t="shared" si="1"/>
        <v>3.616336111111111</v>
      </c>
      <c r="K24" s="2">
        <f t="shared" si="1"/>
        <v>12.626177777777777</v>
      </c>
      <c r="L24" s="2">
        <f t="shared" si="1"/>
        <v>8.6044444444444466</v>
      </c>
      <c r="M24" s="2">
        <f t="shared" si="2"/>
        <v>6.4866666666666664</v>
      </c>
      <c r="N24" s="2">
        <f t="shared" si="3"/>
        <v>42.07684444444444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1</v>
      </c>
      <c r="U24" s="9">
        <v>0</v>
      </c>
      <c r="V24" s="9">
        <v>0</v>
      </c>
      <c r="W24" s="9">
        <v>0</v>
      </c>
    </row>
    <row r="25" spans="1:23" x14ac:dyDescent="0.3">
      <c r="A25" t="s">
        <v>28</v>
      </c>
      <c r="B25" s="2">
        <v>113.76666666666667</v>
      </c>
      <c r="C25" s="21">
        <v>4.1866666666666665</v>
      </c>
      <c r="D25" s="21">
        <v>4.1516666666666664</v>
      </c>
      <c r="E25" s="2">
        <v>1.95</v>
      </c>
      <c r="F25" s="2">
        <v>1.5483333333333331</v>
      </c>
      <c r="G25" s="2">
        <v>0.59333333333333338</v>
      </c>
      <c r="H25" s="20">
        <v>69.791666666666671</v>
      </c>
      <c r="I25" s="20">
        <f t="shared" si="0"/>
        <v>12942.854444444445</v>
      </c>
      <c r="J25" s="2">
        <f t="shared" si="1"/>
        <v>3.8024999999999998</v>
      </c>
      <c r="K25" s="2">
        <f t="shared" si="1"/>
        <v>2.3973361111111102</v>
      </c>
      <c r="L25" s="2">
        <f t="shared" si="1"/>
        <v>0.35204444444444449</v>
      </c>
      <c r="M25" s="2">
        <f t="shared" si="2"/>
        <v>2.1416666666666666</v>
      </c>
      <c r="N25" s="2">
        <f t="shared" si="3"/>
        <v>4.5867361111111107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1</v>
      </c>
      <c r="U25" s="9">
        <v>0</v>
      </c>
      <c r="V25" s="9">
        <v>0</v>
      </c>
      <c r="W25" s="9">
        <v>0</v>
      </c>
    </row>
    <row r="26" spans="1:23" x14ac:dyDescent="0.3">
      <c r="A26" s="16" t="s">
        <v>90</v>
      </c>
      <c r="B26" s="17">
        <v>152.1</v>
      </c>
      <c r="C26" s="18">
        <v>2.1216666666666666</v>
      </c>
      <c r="D26" s="18">
        <v>3.8433333333333333</v>
      </c>
      <c r="E26" s="17">
        <v>2.2616666666666667</v>
      </c>
      <c r="F26" s="17">
        <v>0.61833333333333329</v>
      </c>
      <c r="G26" s="17">
        <v>2.6666666666666668E-2</v>
      </c>
      <c r="H26" s="19">
        <v>44.742063492063494</v>
      </c>
      <c r="I26" s="20">
        <f t="shared" si="0"/>
        <v>23134.41</v>
      </c>
      <c r="J26" s="2">
        <f t="shared" si="1"/>
        <v>5.1151361111111111</v>
      </c>
      <c r="K26" s="2">
        <f t="shared" si="1"/>
        <v>0.38233611111111104</v>
      </c>
      <c r="L26" s="2">
        <f t="shared" si="1"/>
        <v>7.1111111111111125E-4</v>
      </c>
      <c r="M26" s="2">
        <f t="shared" si="2"/>
        <v>0.64499999999999991</v>
      </c>
      <c r="N26" s="2">
        <f t="shared" si="3"/>
        <v>0.41602499999999987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1</v>
      </c>
      <c r="V26" s="9">
        <v>0</v>
      </c>
      <c r="W26" s="9">
        <v>0</v>
      </c>
    </row>
    <row r="27" spans="1:23" x14ac:dyDescent="0.3">
      <c r="A27" s="16" t="s">
        <v>30</v>
      </c>
      <c r="B27" s="17">
        <v>122.01666666666667</v>
      </c>
      <c r="C27" s="18">
        <v>4.7458333333333336</v>
      </c>
      <c r="D27" s="18">
        <v>4.043333333333333</v>
      </c>
      <c r="E27" s="17">
        <v>0.73666666666666669</v>
      </c>
      <c r="F27" s="17">
        <v>3.3466666666666671</v>
      </c>
      <c r="G27" s="17">
        <v>0.90833333333333321</v>
      </c>
      <c r="H27" s="19">
        <v>59.577020202020186</v>
      </c>
      <c r="I27" s="20">
        <f t="shared" si="0"/>
        <v>14888.066944444445</v>
      </c>
      <c r="J27" s="2">
        <f t="shared" si="1"/>
        <v>0.54267777777777781</v>
      </c>
      <c r="K27" s="2">
        <f t="shared" si="1"/>
        <v>11.20017777777778</v>
      </c>
      <c r="L27" s="2">
        <f t="shared" si="1"/>
        <v>0.82506944444444419</v>
      </c>
      <c r="M27" s="2">
        <f t="shared" si="2"/>
        <v>4.2550000000000008</v>
      </c>
      <c r="N27" s="2">
        <f t="shared" si="3"/>
        <v>18.105025000000008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1</v>
      </c>
      <c r="V27" s="9">
        <v>0</v>
      </c>
      <c r="W27" s="9">
        <v>0</v>
      </c>
    </row>
    <row r="28" spans="1:23" x14ac:dyDescent="0.3">
      <c r="A28" s="16" t="s">
        <v>31</v>
      </c>
      <c r="B28" s="17">
        <v>140.81666666666666</v>
      </c>
      <c r="C28" s="18">
        <v>6.3024999999999993</v>
      </c>
      <c r="D28" s="18">
        <v>3.8566666666666669</v>
      </c>
      <c r="E28" s="17">
        <v>1.7683333333333329</v>
      </c>
      <c r="F28" s="17">
        <v>4.085</v>
      </c>
      <c r="G28" s="17">
        <v>3.57</v>
      </c>
      <c r="H28" s="19">
        <v>66.963383838383848</v>
      </c>
      <c r="I28" s="20">
        <f t="shared" si="0"/>
        <v>19829.333611111109</v>
      </c>
      <c r="J28" s="2">
        <f t="shared" si="1"/>
        <v>3.127002777777776</v>
      </c>
      <c r="K28" s="2">
        <f t="shared" si="1"/>
        <v>16.687224999999998</v>
      </c>
      <c r="L28" s="2">
        <f t="shared" si="1"/>
        <v>12.744899999999999</v>
      </c>
      <c r="M28" s="2">
        <f t="shared" si="2"/>
        <v>7.6549999999999994</v>
      </c>
      <c r="N28" s="2">
        <f t="shared" si="3"/>
        <v>58.59902499999999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1</v>
      </c>
      <c r="V28" s="9">
        <v>0</v>
      </c>
      <c r="W28" s="9">
        <v>0</v>
      </c>
    </row>
    <row r="29" spans="1:23" x14ac:dyDescent="0.3">
      <c r="A29" s="16" t="s">
        <v>32</v>
      </c>
      <c r="B29" s="17">
        <v>126.26666666666669</v>
      </c>
      <c r="C29" s="18">
        <v>3.7751666666666668</v>
      </c>
      <c r="D29" s="18">
        <v>3.8966666666666669</v>
      </c>
      <c r="E29" s="17">
        <v>2.2349999999999999</v>
      </c>
      <c r="F29" s="17">
        <v>1.2899999999999998</v>
      </c>
      <c r="G29" s="17">
        <v>0.41333333333333333</v>
      </c>
      <c r="H29" s="19">
        <v>64.880952380952394</v>
      </c>
      <c r="I29" s="20">
        <f t="shared" si="0"/>
        <v>15943.271111111118</v>
      </c>
      <c r="J29" s="2">
        <f t="shared" si="1"/>
        <v>4.9952249999999996</v>
      </c>
      <c r="K29" s="2">
        <f t="shared" si="1"/>
        <v>1.6640999999999995</v>
      </c>
      <c r="L29" s="2">
        <f t="shared" si="1"/>
        <v>0.17084444444444444</v>
      </c>
      <c r="M29" s="2">
        <f t="shared" si="2"/>
        <v>1.7033333333333331</v>
      </c>
      <c r="N29" s="2">
        <f t="shared" si="3"/>
        <v>2.9013444444444438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1</v>
      </c>
      <c r="V29" s="9">
        <v>0</v>
      </c>
      <c r="W29" s="9">
        <v>0</v>
      </c>
    </row>
    <row r="30" spans="1:23" x14ac:dyDescent="0.3">
      <c r="A30" t="s">
        <v>91</v>
      </c>
      <c r="B30" s="2">
        <v>137.29999999999998</v>
      </c>
      <c r="C30" s="21">
        <v>2.2925</v>
      </c>
      <c r="D30" s="21">
        <v>3.8050000000000002</v>
      </c>
      <c r="E30" s="2">
        <v>1.2133333333333334</v>
      </c>
      <c r="F30" s="2">
        <v>0.68166666666666653</v>
      </c>
      <c r="G30" s="2">
        <v>1.6666666666666668E-3</v>
      </c>
      <c r="H30" s="20">
        <v>48.888888888888893</v>
      </c>
      <c r="I30" s="20">
        <f t="shared" si="0"/>
        <v>18851.289999999994</v>
      </c>
      <c r="J30" s="2">
        <f t="shared" si="1"/>
        <v>1.4721777777777778</v>
      </c>
      <c r="K30" s="2">
        <f t="shared" si="1"/>
        <v>0.46466944444444425</v>
      </c>
      <c r="L30" s="2">
        <f t="shared" si="1"/>
        <v>2.7777777777777783E-6</v>
      </c>
      <c r="M30" s="2">
        <f t="shared" si="2"/>
        <v>0.68333333333333324</v>
      </c>
      <c r="N30" s="2">
        <f t="shared" si="3"/>
        <v>0.46694444444444433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1</v>
      </c>
      <c r="W30" s="9">
        <v>0</v>
      </c>
    </row>
    <row r="31" spans="1:23" x14ac:dyDescent="0.3">
      <c r="A31" t="s">
        <v>34</v>
      </c>
      <c r="B31" s="2">
        <v>134.08333333333334</v>
      </c>
      <c r="C31" s="21">
        <v>5.1806666666666663</v>
      </c>
      <c r="D31" s="21">
        <v>4.04</v>
      </c>
      <c r="E31" s="2">
        <v>2.0783333333333336</v>
      </c>
      <c r="F31" s="2">
        <v>3.5216666666666665</v>
      </c>
      <c r="G31" s="2">
        <v>1.4749999999999999</v>
      </c>
      <c r="H31" s="20">
        <v>63.611111111111121</v>
      </c>
      <c r="I31" s="20">
        <f t="shared" si="0"/>
        <v>17978.340277777781</v>
      </c>
      <c r="J31" s="2">
        <f t="shared" si="1"/>
        <v>4.3194694444444455</v>
      </c>
      <c r="K31" s="2">
        <f t="shared" si="1"/>
        <v>12.40213611111111</v>
      </c>
      <c r="L31" s="2">
        <f t="shared" si="1"/>
        <v>2.1756249999999997</v>
      </c>
      <c r="M31" s="2">
        <f t="shared" si="2"/>
        <v>4.9966666666666661</v>
      </c>
      <c r="N31" s="2">
        <f t="shared" si="3"/>
        <v>24.966677777777772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1</v>
      </c>
      <c r="W31" s="9">
        <v>0</v>
      </c>
    </row>
    <row r="32" spans="1:23" x14ac:dyDescent="0.3">
      <c r="A32" t="s">
        <v>35</v>
      </c>
      <c r="B32" s="2">
        <v>116.83333333333333</v>
      </c>
      <c r="C32" s="21">
        <v>4.5996666666666668</v>
      </c>
      <c r="D32" s="21">
        <v>4.2433333333333332</v>
      </c>
      <c r="E32" s="2">
        <v>1.8166666666666664</v>
      </c>
      <c r="F32" s="2">
        <v>1.84</v>
      </c>
      <c r="G32" s="2">
        <v>0.64666666666666672</v>
      </c>
      <c r="H32" s="20">
        <v>70.075757575757564</v>
      </c>
      <c r="I32" s="20">
        <f t="shared" si="0"/>
        <v>13650.027777777777</v>
      </c>
      <c r="J32" s="2">
        <f t="shared" si="1"/>
        <v>3.3002777777777768</v>
      </c>
      <c r="K32" s="2">
        <f t="shared" si="1"/>
        <v>3.3856000000000002</v>
      </c>
      <c r="L32" s="2">
        <f t="shared" si="1"/>
        <v>0.41817777777777787</v>
      </c>
      <c r="M32" s="2">
        <f t="shared" si="2"/>
        <v>2.4866666666666668</v>
      </c>
      <c r="N32" s="2">
        <f t="shared" si="3"/>
        <v>6.1835111111111116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1</v>
      </c>
      <c r="W32" s="9">
        <v>0</v>
      </c>
    </row>
    <row r="33" spans="1:23" x14ac:dyDescent="0.3">
      <c r="A33" t="s">
        <v>36</v>
      </c>
      <c r="B33" s="2">
        <v>125.41666666666669</v>
      </c>
      <c r="C33" s="21">
        <v>4.4183333333333339</v>
      </c>
      <c r="D33" s="21">
        <v>3.9816666666666669</v>
      </c>
      <c r="E33" s="2">
        <v>1.845</v>
      </c>
      <c r="F33" s="2">
        <v>1.3866666666666667</v>
      </c>
      <c r="G33" s="2">
        <v>0.45</v>
      </c>
      <c r="H33" s="20">
        <v>67.095959595959584</v>
      </c>
      <c r="I33" s="20">
        <f t="shared" si="0"/>
        <v>15729.340277777783</v>
      </c>
      <c r="J33" s="2">
        <f t="shared" si="1"/>
        <v>3.4040249999999999</v>
      </c>
      <c r="K33" s="2">
        <f t="shared" si="1"/>
        <v>1.9228444444444446</v>
      </c>
      <c r="L33" s="2">
        <f t="shared" si="1"/>
        <v>0.20250000000000001</v>
      </c>
      <c r="M33" s="2">
        <f t="shared" si="2"/>
        <v>1.8366666666666667</v>
      </c>
      <c r="N33" s="2">
        <f t="shared" si="3"/>
        <v>3.3733444444444443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1</v>
      </c>
      <c r="W33" s="9">
        <v>0</v>
      </c>
    </row>
    <row r="34" spans="1:23" x14ac:dyDescent="0.3">
      <c r="A34" s="16" t="s">
        <v>92</v>
      </c>
      <c r="B34" s="17">
        <v>182.14999999999998</v>
      </c>
      <c r="C34" s="18">
        <v>2.4148333333333336</v>
      </c>
      <c r="D34" s="18">
        <v>3.7166666666666668</v>
      </c>
      <c r="E34" s="17">
        <v>0</v>
      </c>
      <c r="F34" s="17">
        <v>0.53666666666666663</v>
      </c>
      <c r="G34" s="17">
        <v>0.11833333333333335</v>
      </c>
      <c r="H34" s="19">
        <v>37.354797979797979</v>
      </c>
      <c r="I34" s="20">
        <f t="shared" si="0"/>
        <v>33178.62249999999</v>
      </c>
      <c r="J34" s="2">
        <f t="shared" si="1"/>
        <v>0</v>
      </c>
      <c r="K34" s="2">
        <f t="shared" si="1"/>
        <v>0.28801111111111105</v>
      </c>
      <c r="L34" s="2">
        <f t="shared" si="1"/>
        <v>1.4002777777777781E-2</v>
      </c>
      <c r="M34" s="2">
        <f t="shared" si="2"/>
        <v>0.65500000000000003</v>
      </c>
      <c r="N34" s="2">
        <f t="shared" si="3"/>
        <v>0.42902500000000005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1</v>
      </c>
    </row>
    <row r="35" spans="1:23" x14ac:dyDescent="0.3">
      <c r="A35" s="16" t="s">
        <v>38</v>
      </c>
      <c r="B35" s="17">
        <v>135.38333333333335</v>
      </c>
      <c r="C35" s="18">
        <v>5.2379999999999995</v>
      </c>
      <c r="D35" s="18">
        <v>3.78</v>
      </c>
      <c r="E35" s="17">
        <v>1.5549999999999999</v>
      </c>
      <c r="F35" s="17">
        <v>3.3583333333333329</v>
      </c>
      <c r="G35" s="17">
        <v>1.1166666666666667</v>
      </c>
      <c r="H35" s="19">
        <v>49.396645021645021</v>
      </c>
      <c r="I35" s="20">
        <f t="shared" si="0"/>
        <v>18328.646944444448</v>
      </c>
      <c r="J35" s="2">
        <f t="shared" si="1"/>
        <v>2.4180249999999996</v>
      </c>
      <c r="K35" s="2">
        <f t="shared" si="1"/>
        <v>11.278402777777774</v>
      </c>
      <c r="L35" s="2">
        <f t="shared" si="1"/>
        <v>1.2469444444444444</v>
      </c>
      <c r="M35" s="2">
        <f t="shared" si="2"/>
        <v>4.4749999999999996</v>
      </c>
      <c r="N35" s="2">
        <f t="shared" si="3"/>
        <v>20.025624999999998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1</v>
      </c>
    </row>
    <row r="36" spans="1:23" x14ac:dyDescent="0.3">
      <c r="A36" s="16" t="s">
        <v>39</v>
      </c>
      <c r="B36" s="17">
        <v>114.68333333333332</v>
      </c>
      <c r="C36" s="18">
        <v>7.6448333333333336</v>
      </c>
      <c r="D36" s="18">
        <v>3.8066666666666671</v>
      </c>
      <c r="E36" s="17">
        <v>1.5200000000000002</v>
      </c>
      <c r="F36" s="17">
        <v>3.5016666666666669</v>
      </c>
      <c r="G36" s="17">
        <v>2.3266666666666671</v>
      </c>
      <c r="H36" s="19">
        <v>65.170454545454547</v>
      </c>
      <c r="I36" s="20">
        <f t="shared" si="0"/>
        <v>13152.266944444442</v>
      </c>
      <c r="J36" s="2">
        <f t="shared" si="1"/>
        <v>2.3104000000000009</v>
      </c>
      <c r="K36" s="2">
        <f t="shared" si="1"/>
        <v>12.261669444444447</v>
      </c>
      <c r="L36" s="2">
        <f t="shared" si="1"/>
        <v>5.4133777777777796</v>
      </c>
      <c r="M36" s="2">
        <f t="shared" si="2"/>
        <v>5.828333333333334</v>
      </c>
      <c r="N36" s="2">
        <f t="shared" si="3"/>
        <v>33.969469444444449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1</v>
      </c>
    </row>
    <row r="37" spans="1:23" x14ac:dyDescent="0.3">
      <c r="A37" s="16" t="s">
        <v>40</v>
      </c>
      <c r="B37" s="17">
        <v>132.23333333333335</v>
      </c>
      <c r="C37" s="18">
        <v>6.6663333333333341</v>
      </c>
      <c r="D37" s="18">
        <v>3.7949999999999999</v>
      </c>
      <c r="E37" s="17">
        <v>1.4116666666666668</v>
      </c>
      <c r="F37" s="17">
        <v>4.2216666666666667</v>
      </c>
      <c r="G37" s="17">
        <v>1.9583333333333333</v>
      </c>
      <c r="H37" s="19">
        <v>65.972222222222229</v>
      </c>
      <c r="I37" s="20">
        <f t="shared" si="0"/>
        <v>17485.654444444448</v>
      </c>
      <c r="J37" s="2">
        <f t="shared" si="1"/>
        <v>1.9928027777777784</v>
      </c>
      <c r="K37" s="2">
        <f t="shared" si="1"/>
        <v>17.822469444444444</v>
      </c>
      <c r="L37" s="2">
        <f t="shared" si="1"/>
        <v>3.8350694444444442</v>
      </c>
      <c r="M37" s="2">
        <f t="shared" si="2"/>
        <v>6.18</v>
      </c>
      <c r="N37" s="2">
        <f t="shared" si="3"/>
        <v>38.192399999999999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B6E7-1549-42BF-9BAA-082B8883328D}">
  <dimension ref="A1:X38"/>
  <sheetViews>
    <sheetView zoomScale="61" workbookViewId="0">
      <selection activeCell="C42" sqref="C42"/>
    </sheetView>
  </sheetViews>
  <sheetFormatPr defaultRowHeight="14.4" x14ac:dyDescent="0.3"/>
  <cols>
    <col min="1" max="1" width="36.6640625" bestFit="1" customWidth="1"/>
    <col min="2" max="3" width="15.44140625" bestFit="1" customWidth="1"/>
    <col min="4" max="4" width="17.6640625" bestFit="1" customWidth="1"/>
    <col min="5" max="5" width="15.44140625" bestFit="1" customWidth="1"/>
    <col min="6" max="6" width="18.33203125" bestFit="1" customWidth="1"/>
    <col min="7" max="7" width="18.33203125" customWidth="1"/>
    <col min="10" max="10" width="10.109375" bestFit="1" customWidth="1"/>
    <col min="12" max="12" width="17.109375" bestFit="1" customWidth="1"/>
  </cols>
  <sheetData>
    <row r="1" spans="1:24" x14ac:dyDescent="0.3">
      <c r="A1" s="1" t="s">
        <v>0</v>
      </c>
      <c r="B1" s="1" t="s">
        <v>41</v>
      </c>
      <c r="C1" s="1" t="s">
        <v>80</v>
      </c>
      <c r="D1" s="1" t="s">
        <v>78</v>
      </c>
      <c r="E1" s="1" t="s">
        <v>44</v>
      </c>
      <c r="F1" s="1" t="s">
        <v>93</v>
      </c>
      <c r="G1" s="1" t="s">
        <v>77</v>
      </c>
      <c r="H1" s="1" t="s">
        <v>63</v>
      </c>
      <c r="I1" s="1" t="s">
        <v>64</v>
      </c>
      <c r="J1" s="1" t="s">
        <v>81</v>
      </c>
      <c r="K1" s="1" t="s">
        <v>65</v>
      </c>
      <c r="L1" t="s">
        <v>46</v>
      </c>
      <c r="M1" s="1" t="s">
        <v>94</v>
      </c>
      <c r="N1" s="10" t="s">
        <v>75</v>
      </c>
      <c r="O1" s="10" t="s">
        <v>76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</row>
    <row r="2" spans="1:24" x14ac:dyDescent="0.3">
      <c r="A2" t="s">
        <v>16</v>
      </c>
      <c r="B2" s="2">
        <v>1.666666666666667E-3</v>
      </c>
      <c r="C2" s="2">
        <v>0.37666666666666659</v>
      </c>
      <c r="D2" s="2">
        <v>221.4</v>
      </c>
      <c r="E2" s="2">
        <v>3.3333333333333333E-2</v>
      </c>
      <c r="F2" s="2">
        <v>0</v>
      </c>
      <c r="G2" s="2">
        <v>0</v>
      </c>
      <c r="H2" s="2">
        <f>B2^2</f>
        <v>2.7777777777777788E-6</v>
      </c>
      <c r="I2" s="2">
        <f t="shared" ref="I2:K14" si="0">C2^2</f>
        <v>0.14187777777777771</v>
      </c>
      <c r="J2" s="2">
        <f t="shared" si="0"/>
        <v>49017.96</v>
      </c>
      <c r="K2" s="2">
        <f t="shared" si="0"/>
        <v>1.1111111111111111E-3</v>
      </c>
      <c r="L2">
        <v>2.004666666666667</v>
      </c>
      <c r="M2" s="2">
        <f>L2^2</f>
        <v>4.0186884444444457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 t="s">
        <v>2</v>
      </c>
      <c r="B3" s="2">
        <v>3.333333333333334E-3</v>
      </c>
      <c r="C3" s="2">
        <v>0.26833333333333331</v>
      </c>
      <c r="D3" s="2">
        <v>199.15</v>
      </c>
      <c r="E3" s="2">
        <v>0.34666666666666668</v>
      </c>
      <c r="F3" s="2">
        <v>16.18055555555555</v>
      </c>
      <c r="G3" s="2">
        <v>23.72</v>
      </c>
      <c r="H3" s="2">
        <f t="shared" ref="H3:K38" si="1">B3^2</f>
        <v>1.1111111111111115E-5</v>
      </c>
      <c r="I3" s="2">
        <f t="shared" si="0"/>
        <v>7.2002777777777763E-2</v>
      </c>
      <c r="J3" s="2">
        <f t="shared" si="0"/>
        <v>39660.722500000003</v>
      </c>
      <c r="K3" s="2">
        <f t="shared" si="0"/>
        <v>0.12017777777777779</v>
      </c>
      <c r="L3">
        <v>2.3210000000000002</v>
      </c>
      <c r="M3" s="2">
        <f t="shared" ref="M3:M38" si="2">L3^2</f>
        <v>5.3870410000000009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 t="s">
        <v>3</v>
      </c>
      <c r="B4" s="2">
        <v>1.02</v>
      </c>
      <c r="C4" s="2">
        <v>2.6983333333333328</v>
      </c>
      <c r="D4" s="2">
        <v>155.23333333333329</v>
      </c>
      <c r="E4" s="2">
        <v>1.5149999999999999</v>
      </c>
      <c r="F4" s="2">
        <v>44.097222222222221</v>
      </c>
      <c r="G4" s="2">
        <v>41.61</v>
      </c>
      <c r="H4" s="2">
        <f t="shared" si="1"/>
        <v>1.0404</v>
      </c>
      <c r="I4" s="2">
        <f t="shared" si="0"/>
        <v>7.2810027777777746</v>
      </c>
      <c r="J4" s="2">
        <f t="shared" si="0"/>
        <v>24097.387777777763</v>
      </c>
      <c r="K4" s="2">
        <f t="shared" si="0"/>
        <v>2.2952249999999998</v>
      </c>
      <c r="L4">
        <v>5.6394000000000002</v>
      </c>
      <c r="M4" s="2">
        <f t="shared" si="2"/>
        <v>31.802832360000004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 t="s">
        <v>4</v>
      </c>
      <c r="B5" s="2">
        <v>1.865</v>
      </c>
      <c r="C5" s="2">
        <v>3.4833333333333329</v>
      </c>
      <c r="D5" s="2">
        <v>134.4</v>
      </c>
      <c r="E5" s="2">
        <v>0.89</v>
      </c>
      <c r="F5" s="2">
        <v>49.791666666666671</v>
      </c>
      <c r="G5" s="2">
        <v>44.88</v>
      </c>
      <c r="H5" s="2">
        <f t="shared" si="1"/>
        <v>3.4782250000000001</v>
      </c>
      <c r="I5" s="2">
        <f t="shared" si="0"/>
        <v>12.133611111111108</v>
      </c>
      <c r="J5" s="2">
        <f t="shared" si="0"/>
        <v>18063.36</v>
      </c>
      <c r="K5" s="2">
        <f t="shared" si="0"/>
        <v>0.79210000000000003</v>
      </c>
      <c r="L5">
        <v>6.6719999999999997</v>
      </c>
      <c r="M5" s="2">
        <f t="shared" si="2"/>
        <v>44.515583999999997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 t="s">
        <v>5</v>
      </c>
      <c r="B6" s="2">
        <v>2.5733333333333328</v>
      </c>
      <c r="C6" s="2">
        <v>4.2350000000000003</v>
      </c>
      <c r="D6" s="2">
        <v>147.56666666666669</v>
      </c>
      <c r="E6" s="2">
        <v>0.33333333333333331</v>
      </c>
      <c r="F6" s="2">
        <v>54.513888888888893</v>
      </c>
      <c r="G6" s="2">
        <v>47.59</v>
      </c>
      <c r="H6" s="2">
        <f t="shared" si="1"/>
        <v>6.622044444444442</v>
      </c>
      <c r="I6" s="2">
        <f t="shared" si="0"/>
        <v>17.935225000000003</v>
      </c>
      <c r="J6" s="2">
        <f t="shared" si="0"/>
        <v>21775.921111111118</v>
      </c>
      <c r="K6" s="2">
        <f t="shared" si="0"/>
        <v>0.1111111111111111</v>
      </c>
      <c r="L6">
        <v>6.5998333333333337</v>
      </c>
      <c r="M6" s="2">
        <f t="shared" si="2"/>
        <v>43.55780002777778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 t="s">
        <v>8</v>
      </c>
      <c r="B7" s="2">
        <v>1.3666666666666669</v>
      </c>
      <c r="C7" s="2">
        <v>1.9716666666666669</v>
      </c>
      <c r="D7" s="2">
        <v>147.55000000000001</v>
      </c>
      <c r="E7" s="2">
        <v>1.658333333333333</v>
      </c>
      <c r="F7" s="2">
        <v>59.583333333333343</v>
      </c>
      <c r="G7" s="2">
        <v>50.53</v>
      </c>
      <c r="H7" s="2">
        <f t="shared" si="1"/>
        <v>1.8677777777777784</v>
      </c>
      <c r="I7" s="2">
        <f t="shared" si="0"/>
        <v>3.8874694444444455</v>
      </c>
      <c r="J7" s="2">
        <f t="shared" si="0"/>
        <v>21771.002500000002</v>
      </c>
      <c r="K7" s="2">
        <f t="shared" si="0"/>
        <v>2.7500694444444433</v>
      </c>
      <c r="L7">
        <v>4.2358333333333338</v>
      </c>
      <c r="M7" s="2">
        <f t="shared" si="2"/>
        <v>17.942284027777781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 t="s">
        <v>9</v>
      </c>
      <c r="B8" s="2">
        <v>2.7866666666666671</v>
      </c>
      <c r="C8" s="2">
        <v>4.7450000000000001</v>
      </c>
      <c r="D8" s="2">
        <v>123.43333333333329</v>
      </c>
      <c r="E8" s="2">
        <v>1.405</v>
      </c>
      <c r="F8" s="2">
        <v>63.263888888888893</v>
      </c>
      <c r="G8" s="2">
        <v>52.69</v>
      </c>
      <c r="H8" s="2">
        <f t="shared" si="1"/>
        <v>7.7655111111111133</v>
      </c>
      <c r="I8" s="2">
        <f t="shared" si="0"/>
        <v>22.515025000000001</v>
      </c>
      <c r="J8" s="2">
        <f t="shared" si="0"/>
        <v>15235.787777777768</v>
      </c>
      <c r="K8" s="2">
        <f t="shared" si="0"/>
        <v>1.9740250000000001</v>
      </c>
      <c r="L8">
        <v>7.6444999999999999</v>
      </c>
      <c r="M8" s="2">
        <f t="shared" si="2"/>
        <v>58.438380249999994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 t="s">
        <v>10</v>
      </c>
      <c r="B9" s="2">
        <v>4.3083333333333336</v>
      </c>
      <c r="C9" s="2">
        <v>4.7616666666666667</v>
      </c>
      <c r="D9" s="2">
        <v>114.48333333333331</v>
      </c>
      <c r="E9" s="2">
        <v>1.5866666666666669</v>
      </c>
      <c r="F9" s="2">
        <v>67.5</v>
      </c>
      <c r="G9" s="2">
        <v>55.24</v>
      </c>
      <c r="H9" s="2">
        <f t="shared" si="1"/>
        <v>18.561736111111113</v>
      </c>
      <c r="I9" s="2">
        <f t="shared" si="0"/>
        <v>22.673469444444446</v>
      </c>
      <c r="J9" s="2">
        <f t="shared" si="0"/>
        <v>13106.433611111104</v>
      </c>
      <c r="K9" s="2">
        <f t="shared" si="0"/>
        <v>2.5175111111111117</v>
      </c>
      <c r="L9">
        <v>9.0151666666666657</v>
      </c>
      <c r="M9" s="2">
        <f t="shared" si="2"/>
        <v>81.273230027777757</v>
      </c>
      <c r="N9">
        <v>0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 t="s">
        <v>11</v>
      </c>
      <c r="B10" s="2">
        <v>3.121666666666667</v>
      </c>
      <c r="C10" s="2">
        <v>5.0983333333333336</v>
      </c>
      <c r="D10" s="2">
        <v>126.05</v>
      </c>
      <c r="E10" s="2">
        <v>0.89166666666666661</v>
      </c>
      <c r="F10" s="2">
        <v>68.75</v>
      </c>
      <c r="G10" s="2">
        <v>56.01</v>
      </c>
      <c r="H10" s="2">
        <f t="shared" si="1"/>
        <v>9.7448027777777799</v>
      </c>
      <c r="I10" s="2">
        <f t="shared" si="0"/>
        <v>25.993002777777779</v>
      </c>
      <c r="J10" s="2">
        <f t="shared" si="0"/>
        <v>15888.602499999999</v>
      </c>
      <c r="K10" s="2">
        <f t="shared" si="0"/>
        <v>0.79506944444444438</v>
      </c>
      <c r="L10">
        <v>8.2948333333333331</v>
      </c>
      <c r="M10" s="2">
        <f t="shared" si="2"/>
        <v>68.804260027777772</v>
      </c>
      <c r="N10">
        <v>1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 t="s">
        <v>12</v>
      </c>
      <c r="B11" s="2">
        <v>1.666666666666667E-3</v>
      </c>
      <c r="C11" s="2">
        <v>0.2466666666666667</v>
      </c>
      <c r="D11" s="2">
        <v>185.2</v>
      </c>
      <c r="E11" s="2">
        <v>0.69333333333333336</v>
      </c>
      <c r="F11" s="2">
        <v>18.611111111111111</v>
      </c>
      <c r="G11" s="2">
        <v>25.56</v>
      </c>
      <c r="H11" s="2">
        <f t="shared" si="1"/>
        <v>2.7777777777777788E-6</v>
      </c>
      <c r="I11" s="2">
        <f t="shared" si="0"/>
        <v>6.0844444444444458E-2</v>
      </c>
      <c r="J11" s="2">
        <f t="shared" si="0"/>
        <v>34299.039999999994</v>
      </c>
      <c r="K11" s="2">
        <f t="shared" si="0"/>
        <v>0.48071111111111114</v>
      </c>
      <c r="L11">
        <v>2.2000000000000002</v>
      </c>
      <c r="M11" s="2">
        <f t="shared" si="2"/>
        <v>4.8400000000000007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 t="s">
        <v>13</v>
      </c>
      <c r="B12" s="2">
        <v>2.105</v>
      </c>
      <c r="C12" s="2">
        <v>4.0949999999999998</v>
      </c>
      <c r="D12" s="2">
        <v>137.0333333333333</v>
      </c>
      <c r="E12" s="2">
        <v>1.1233333333333331</v>
      </c>
      <c r="F12" s="2">
        <v>50.972222222222221</v>
      </c>
      <c r="G12" s="2">
        <v>45.56</v>
      </c>
      <c r="H12" s="2">
        <f t="shared" si="1"/>
        <v>4.431025</v>
      </c>
      <c r="I12" s="2">
        <f t="shared" si="0"/>
        <v>16.769024999999999</v>
      </c>
      <c r="J12" s="2">
        <f t="shared" si="0"/>
        <v>18778.134444444437</v>
      </c>
      <c r="K12" s="2">
        <f t="shared" si="0"/>
        <v>1.2618777777777772</v>
      </c>
      <c r="L12">
        <v>6.6711666666666671</v>
      </c>
      <c r="M12" s="2">
        <f t="shared" si="2"/>
        <v>44.504464694444451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 t="s">
        <v>14</v>
      </c>
      <c r="B13" s="2">
        <v>1.8566666666666669</v>
      </c>
      <c r="C13" s="2">
        <v>3.8666666666666671</v>
      </c>
      <c r="D13" s="2">
        <v>132</v>
      </c>
      <c r="E13" s="2">
        <v>1.48</v>
      </c>
      <c r="F13" s="2">
        <v>58.958333333333343</v>
      </c>
      <c r="G13" s="2">
        <v>50.16</v>
      </c>
      <c r="H13" s="2">
        <f t="shared" si="1"/>
        <v>3.4472111111111121</v>
      </c>
      <c r="I13" s="2">
        <f t="shared" si="0"/>
        <v>14.951111111111114</v>
      </c>
      <c r="J13" s="2">
        <f t="shared" si="0"/>
        <v>17424</v>
      </c>
      <c r="K13" s="2">
        <f t="shared" si="0"/>
        <v>2.1903999999999999</v>
      </c>
      <c r="L13">
        <v>6.1544999999999996</v>
      </c>
      <c r="M13" s="2">
        <f t="shared" si="2"/>
        <v>37.877870249999994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 t="s">
        <v>15</v>
      </c>
      <c r="B14" s="2">
        <v>1.611666666666667</v>
      </c>
      <c r="C14" s="2">
        <v>4.1383333333333336</v>
      </c>
      <c r="D14" s="2">
        <v>164.16666666666671</v>
      </c>
      <c r="E14" s="2">
        <v>0.44166666666666671</v>
      </c>
      <c r="F14" s="2">
        <v>51.597222222222221</v>
      </c>
      <c r="G14" s="2">
        <v>45.92</v>
      </c>
      <c r="H14" s="2">
        <f t="shared" si="1"/>
        <v>2.5974694444444455</v>
      </c>
      <c r="I14" s="2">
        <f t="shared" si="0"/>
        <v>17.125802777777782</v>
      </c>
      <c r="J14" s="2">
        <f t="shared" si="0"/>
        <v>26950.69444444446</v>
      </c>
      <c r="K14" s="2">
        <f t="shared" si="0"/>
        <v>0.19506944444444449</v>
      </c>
      <c r="L14">
        <v>5.1558333333333328</v>
      </c>
      <c r="M14" s="2">
        <f t="shared" si="2"/>
        <v>26.582617361111105</v>
      </c>
      <c r="N14">
        <v>1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 t="s">
        <v>17</v>
      </c>
      <c r="B15" s="2">
        <v>0.01</v>
      </c>
      <c r="C15" s="2">
        <v>0.64166666666666661</v>
      </c>
      <c r="D15" s="2">
        <v>160.66666666666671</v>
      </c>
      <c r="E15" s="2">
        <v>0.1516666666666667</v>
      </c>
      <c r="F15" s="2">
        <v>42.361111111111107</v>
      </c>
      <c r="G15" s="2">
        <v>40.61</v>
      </c>
      <c r="H15" s="2">
        <f t="shared" si="1"/>
        <v>1E-4</v>
      </c>
      <c r="I15" s="2">
        <f t="shared" si="1"/>
        <v>0.41173611111111103</v>
      </c>
      <c r="J15" s="2">
        <f t="shared" si="1"/>
        <v>25813.777777777792</v>
      </c>
      <c r="K15" s="2">
        <f t="shared" si="1"/>
        <v>2.3002777777777789E-2</v>
      </c>
      <c r="L15">
        <v>2.036</v>
      </c>
      <c r="M15" s="2">
        <f t="shared" si="2"/>
        <v>4.1452960000000001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 t="s">
        <v>18</v>
      </c>
      <c r="B16" s="2">
        <v>0.44833333333333342</v>
      </c>
      <c r="C16" s="2">
        <v>2.11</v>
      </c>
      <c r="D16" s="2">
        <v>140.83333333333329</v>
      </c>
      <c r="E16" s="2">
        <v>2.0016666666666669</v>
      </c>
      <c r="F16" s="2">
        <v>56.041666666666657</v>
      </c>
      <c r="G16" s="2">
        <v>48.47</v>
      </c>
      <c r="H16" s="2">
        <f t="shared" si="1"/>
        <v>0.20100277777777786</v>
      </c>
      <c r="I16" s="2">
        <f t="shared" si="1"/>
        <v>4.4520999999999997</v>
      </c>
      <c r="J16" s="2">
        <f t="shared" si="1"/>
        <v>19834.027777777763</v>
      </c>
      <c r="K16" s="2">
        <f t="shared" si="1"/>
        <v>4.0066694444444453</v>
      </c>
      <c r="L16">
        <v>3.2063333333333328</v>
      </c>
      <c r="M16" s="2">
        <f t="shared" si="2"/>
        <v>10.280573444444441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 t="s">
        <v>19</v>
      </c>
      <c r="B17" s="2">
        <v>0.45500000000000002</v>
      </c>
      <c r="C17" s="2">
        <v>1.37</v>
      </c>
      <c r="D17" s="2">
        <v>124.8333333333333</v>
      </c>
      <c r="E17" s="2">
        <v>2.6716666666666669</v>
      </c>
      <c r="F17" s="2">
        <v>64.027777777777771</v>
      </c>
      <c r="G17" s="2">
        <v>53.15</v>
      </c>
      <c r="H17" s="2">
        <f t="shared" si="1"/>
        <v>0.20702500000000001</v>
      </c>
      <c r="I17" s="2">
        <f t="shared" si="1"/>
        <v>1.8769000000000002</v>
      </c>
      <c r="J17" s="2">
        <f t="shared" si="1"/>
        <v>15583.361111111102</v>
      </c>
      <c r="K17" s="2">
        <f t="shared" si="1"/>
        <v>7.1378027777777788</v>
      </c>
      <c r="L17">
        <v>4.0881666666666669</v>
      </c>
      <c r="M17" s="2">
        <f t="shared" si="2"/>
        <v>16.713106694444448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3">
      <c r="A18" t="s">
        <v>20</v>
      </c>
      <c r="B18" s="2">
        <v>0.28999999999999998</v>
      </c>
      <c r="C18" s="2">
        <v>1.208333333333333</v>
      </c>
      <c r="D18" s="2">
        <v>131.5333333333333</v>
      </c>
      <c r="E18" s="2">
        <v>1.9550000000000001</v>
      </c>
      <c r="F18" s="2">
        <v>58.819444444444443</v>
      </c>
      <c r="G18" s="2">
        <v>50.08</v>
      </c>
      <c r="H18" s="2">
        <f t="shared" si="1"/>
        <v>8.4099999999999994E-2</v>
      </c>
      <c r="I18" s="2">
        <f t="shared" si="1"/>
        <v>1.4600694444444438</v>
      </c>
      <c r="J18" s="2">
        <f t="shared" si="1"/>
        <v>17301.017777777768</v>
      </c>
      <c r="K18" s="2">
        <f t="shared" si="1"/>
        <v>3.8220250000000004</v>
      </c>
      <c r="L18">
        <v>3.300333333333334</v>
      </c>
      <c r="M18" s="2">
        <f t="shared" si="2"/>
        <v>10.892200111111116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">
      <c r="A19" t="s">
        <v>21</v>
      </c>
      <c r="B19" s="2">
        <v>0.3</v>
      </c>
      <c r="C19" s="2">
        <v>0.97166666666666668</v>
      </c>
      <c r="D19" s="2">
        <v>135.15</v>
      </c>
      <c r="E19" s="2">
        <v>0.67166666666666663</v>
      </c>
      <c r="F19" s="2">
        <v>53.055555555555557</v>
      </c>
      <c r="G19" s="2">
        <v>46.75</v>
      </c>
      <c r="H19" s="2">
        <f t="shared" si="1"/>
        <v>0.09</v>
      </c>
      <c r="I19" s="2">
        <f t="shared" si="1"/>
        <v>0.94413611111111118</v>
      </c>
      <c r="J19" s="2">
        <f t="shared" si="1"/>
        <v>18265.522500000003</v>
      </c>
      <c r="K19" s="2">
        <f t="shared" si="1"/>
        <v>0.45113611111111107</v>
      </c>
      <c r="L19">
        <v>2.468</v>
      </c>
      <c r="M19" s="2">
        <f t="shared" si="2"/>
        <v>6.091024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</row>
    <row r="20" spans="1:24" x14ac:dyDescent="0.3">
      <c r="A20" t="s">
        <v>22</v>
      </c>
      <c r="B20" s="2">
        <v>1.9233333333333329</v>
      </c>
      <c r="C20" s="2">
        <v>4.2149999999999999</v>
      </c>
      <c r="D20" s="2">
        <v>117.5</v>
      </c>
      <c r="E20" s="2">
        <v>1.61</v>
      </c>
      <c r="F20" s="2">
        <v>63.75</v>
      </c>
      <c r="G20" s="2">
        <v>52.98</v>
      </c>
      <c r="H20" s="2">
        <f t="shared" si="1"/>
        <v>3.6992111111111092</v>
      </c>
      <c r="I20" s="2">
        <f t="shared" si="1"/>
        <v>17.766224999999999</v>
      </c>
      <c r="J20" s="2">
        <f t="shared" si="1"/>
        <v>13806.25</v>
      </c>
      <c r="K20" s="2">
        <f t="shared" si="1"/>
        <v>2.5921000000000003</v>
      </c>
      <c r="L20">
        <v>7.1173333333333337</v>
      </c>
      <c r="M20" s="2">
        <f t="shared" si="2"/>
        <v>50.656433777777785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</row>
    <row r="21" spans="1:24" x14ac:dyDescent="0.3">
      <c r="A21" t="s">
        <v>23</v>
      </c>
      <c r="B21" s="2">
        <v>3.996666666666667</v>
      </c>
      <c r="C21" s="2">
        <v>4.5599999999999996</v>
      </c>
      <c r="D21" s="2">
        <v>124.2833333333333</v>
      </c>
      <c r="E21" s="2">
        <v>1.7033333333333329</v>
      </c>
      <c r="F21" s="2">
        <v>68.611111111111114</v>
      </c>
      <c r="G21" s="2">
        <v>55.93</v>
      </c>
      <c r="H21" s="2">
        <f t="shared" si="1"/>
        <v>15.973344444444447</v>
      </c>
      <c r="I21" s="2">
        <f t="shared" si="1"/>
        <v>20.793599999999998</v>
      </c>
      <c r="J21" s="2">
        <f t="shared" si="1"/>
        <v>15446.346944444436</v>
      </c>
      <c r="K21" s="2">
        <f t="shared" si="1"/>
        <v>2.9013444444444429</v>
      </c>
      <c r="L21">
        <v>9.1053333333333342</v>
      </c>
      <c r="M21" s="2">
        <f t="shared" si="2"/>
        <v>82.907095111111133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</row>
    <row r="22" spans="1:24" x14ac:dyDescent="0.3">
      <c r="A22" t="s">
        <v>24</v>
      </c>
      <c r="B22" s="2">
        <v>2.041666666666667</v>
      </c>
      <c r="C22" s="2">
        <v>4.5216666666666674</v>
      </c>
      <c r="D22" s="2">
        <v>129.66666666666671</v>
      </c>
      <c r="E22" s="2">
        <v>0.94</v>
      </c>
      <c r="F22" s="2">
        <v>68.680555555555557</v>
      </c>
      <c r="G22" s="2">
        <v>55.97</v>
      </c>
      <c r="H22" s="2">
        <f t="shared" si="1"/>
        <v>4.1684027777777786</v>
      </c>
      <c r="I22" s="2">
        <f t="shared" si="1"/>
        <v>20.445469444444452</v>
      </c>
      <c r="J22" s="2">
        <f t="shared" si="1"/>
        <v>16813.444444444456</v>
      </c>
      <c r="K22" s="2">
        <f t="shared" si="1"/>
        <v>0.88359999999999994</v>
      </c>
      <c r="L22">
        <v>7.1029999999999998</v>
      </c>
      <c r="M22" s="2">
        <f t="shared" si="2"/>
        <v>50.452608999999995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</row>
    <row r="23" spans="1:24" x14ac:dyDescent="0.3">
      <c r="A23" t="s">
        <v>25</v>
      </c>
      <c r="B23" s="2">
        <v>2.101666666666667</v>
      </c>
      <c r="C23" s="2">
        <v>3.0049999999999999</v>
      </c>
      <c r="D23" s="2">
        <v>126.81666666666671</v>
      </c>
      <c r="E23" s="2">
        <v>1.2716666666666669</v>
      </c>
      <c r="F23" s="2">
        <v>50.763888888888893</v>
      </c>
      <c r="G23" s="2">
        <v>45.44</v>
      </c>
      <c r="H23" s="2">
        <f t="shared" si="1"/>
        <v>4.4170027777777792</v>
      </c>
      <c r="I23" s="2">
        <f t="shared" si="1"/>
        <v>9.0300250000000002</v>
      </c>
      <c r="J23" s="2">
        <f t="shared" si="1"/>
        <v>16082.466944444453</v>
      </c>
      <c r="K23" s="2">
        <f t="shared" si="1"/>
        <v>1.6171361111111118</v>
      </c>
      <c r="L23">
        <v>6.1081666666666674</v>
      </c>
      <c r="M23" s="2">
        <f t="shared" si="2"/>
        <v>37.309700027777787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</row>
    <row r="24" spans="1:24" x14ac:dyDescent="0.3">
      <c r="A24" t="s">
        <v>26</v>
      </c>
      <c r="B24" s="2">
        <v>1.1633333333333331</v>
      </c>
      <c r="C24" s="2">
        <v>3.415</v>
      </c>
      <c r="D24" s="2">
        <v>142.51666666666671</v>
      </c>
      <c r="E24" s="2">
        <v>1.96</v>
      </c>
      <c r="F24" s="2">
        <v>67.569444444444443</v>
      </c>
      <c r="G24" s="2">
        <v>55.29</v>
      </c>
      <c r="H24" s="2">
        <f t="shared" si="1"/>
        <v>1.353344444444444</v>
      </c>
      <c r="I24" s="2">
        <f t="shared" si="1"/>
        <v>11.662224999999999</v>
      </c>
      <c r="J24" s="2">
        <f t="shared" si="1"/>
        <v>20311.000277777788</v>
      </c>
      <c r="K24" s="2">
        <f t="shared" si="1"/>
        <v>3.8415999999999997</v>
      </c>
      <c r="L24">
        <v>4.9236666666666666</v>
      </c>
      <c r="M24" s="2">
        <f t="shared" si="2"/>
        <v>24.242493444444445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</row>
    <row r="25" spans="1:24" x14ac:dyDescent="0.3">
      <c r="A25" t="s">
        <v>27</v>
      </c>
      <c r="B25" s="2">
        <v>2.933333333333334</v>
      </c>
      <c r="C25" s="2">
        <v>3.5533333333333328</v>
      </c>
      <c r="D25" s="2">
        <v>133.80000000000001</v>
      </c>
      <c r="E25" s="2">
        <v>1.9016666666666671</v>
      </c>
      <c r="F25" s="2">
        <v>67.222222222222214</v>
      </c>
      <c r="G25" s="2">
        <v>55.07</v>
      </c>
      <c r="H25" s="2">
        <f t="shared" si="1"/>
        <v>8.6044444444444483</v>
      </c>
      <c r="I25" s="2">
        <f t="shared" si="1"/>
        <v>12.626177777777773</v>
      </c>
      <c r="J25" s="2">
        <f t="shared" si="1"/>
        <v>17902.440000000002</v>
      </c>
      <c r="K25" s="2">
        <f t="shared" si="1"/>
        <v>3.6163361111111127</v>
      </c>
      <c r="L25">
        <v>8.0515000000000008</v>
      </c>
      <c r="M25" s="2">
        <f t="shared" si="2"/>
        <v>64.826652250000009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</row>
    <row r="26" spans="1:24" x14ac:dyDescent="0.3">
      <c r="A26" t="s">
        <v>28</v>
      </c>
      <c r="B26" s="2">
        <v>0.59333333333333327</v>
      </c>
      <c r="C26" s="2">
        <v>1.5483333333333329</v>
      </c>
      <c r="D26" s="2">
        <v>113.76666666666669</v>
      </c>
      <c r="E26" s="2">
        <v>1.95</v>
      </c>
      <c r="F26" s="2">
        <v>67.569444444444443</v>
      </c>
      <c r="G26" s="2">
        <v>55.29</v>
      </c>
      <c r="H26" s="2">
        <f t="shared" si="1"/>
        <v>0.35204444444444438</v>
      </c>
      <c r="I26" s="2">
        <f t="shared" si="1"/>
        <v>2.3973361111111098</v>
      </c>
      <c r="J26" s="2">
        <f t="shared" si="1"/>
        <v>12942.854444444451</v>
      </c>
      <c r="K26" s="2">
        <f t="shared" si="1"/>
        <v>3.8024999999999998</v>
      </c>
      <c r="L26">
        <v>4.1866666666666674</v>
      </c>
      <c r="M26" s="2">
        <f t="shared" si="2"/>
        <v>17.528177777777785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</row>
    <row r="27" spans="1:24" x14ac:dyDescent="0.3">
      <c r="A27" t="s">
        <v>29</v>
      </c>
      <c r="B27" s="2">
        <v>2.6666666666666668E-2</v>
      </c>
      <c r="C27" s="2">
        <v>0.61833333333333329</v>
      </c>
      <c r="D27" s="2">
        <v>152.1</v>
      </c>
      <c r="E27" s="2">
        <v>2.2616666666666672</v>
      </c>
      <c r="F27" s="2">
        <v>44.305555555555557</v>
      </c>
      <c r="G27" s="2">
        <v>41.73</v>
      </c>
      <c r="H27" s="2">
        <f t="shared" si="1"/>
        <v>7.1111111111111125E-4</v>
      </c>
      <c r="I27" s="2">
        <f t="shared" si="1"/>
        <v>0.38233611111111104</v>
      </c>
      <c r="J27" s="2">
        <f t="shared" si="1"/>
        <v>23134.41</v>
      </c>
      <c r="K27" s="2">
        <f t="shared" si="1"/>
        <v>5.1151361111111138</v>
      </c>
      <c r="L27">
        <v>2.121666666666667</v>
      </c>
      <c r="M27" s="2">
        <f t="shared" si="2"/>
        <v>4.5014694444444459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</row>
    <row r="28" spans="1:24" x14ac:dyDescent="0.3">
      <c r="A28" t="s">
        <v>30</v>
      </c>
      <c r="B28" s="2">
        <v>0.90833333333333333</v>
      </c>
      <c r="C28" s="2">
        <v>3.3466666666666671</v>
      </c>
      <c r="D28" s="2">
        <v>122.01666666666669</v>
      </c>
      <c r="E28" s="2">
        <v>0.73666666666666669</v>
      </c>
      <c r="F28" s="2">
        <v>58.819444444444443</v>
      </c>
      <c r="G28" s="2">
        <v>50.08</v>
      </c>
      <c r="H28" s="2">
        <f t="shared" si="1"/>
        <v>0.82506944444444441</v>
      </c>
      <c r="I28" s="2">
        <f t="shared" si="1"/>
        <v>11.20017777777778</v>
      </c>
      <c r="J28" s="2">
        <f t="shared" si="1"/>
        <v>14888.066944444452</v>
      </c>
      <c r="K28" s="2">
        <f t="shared" si="1"/>
        <v>0.54267777777777781</v>
      </c>
      <c r="L28">
        <v>4.7458333333333336</v>
      </c>
      <c r="M28" s="2">
        <f t="shared" si="2"/>
        <v>22.522934027777779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</row>
    <row r="29" spans="1:24" x14ac:dyDescent="0.3">
      <c r="A29" t="s">
        <v>31</v>
      </c>
      <c r="B29" s="2">
        <v>3.57</v>
      </c>
      <c r="C29" s="2">
        <v>4.085</v>
      </c>
      <c r="D29" s="2">
        <v>140.81666666666669</v>
      </c>
      <c r="E29" s="2">
        <v>1.7683333333333331</v>
      </c>
      <c r="F29" s="2">
        <v>64.583333333333329</v>
      </c>
      <c r="G29" s="2">
        <v>53.48</v>
      </c>
      <c r="H29" s="2">
        <f t="shared" si="1"/>
        <v>12.744899999999999</v>
      </c>
      <c r="I29" s="2">
        <f t="shared" si="1"/>
        <v>16.687224999999998</v>
      </c>
      <c r="J29" s="2">
        <f t="shared" si="1"/>
        <v>19829.333611111117</v>
      </c>
      <c r="K29" s="2">
        <f t="shared" si="1"/>
        <v>3.1270027777777769</v>
      </c>
      <c r="L29">
        <v>6.3025000000000002</v>
      </c>
      <c r="M29" s="2">
        <f t="shared" si="2"/>
        <v>39.721506250000004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</row>
    <row r="30" spans="1:24" x14ac:dyDescent="0.3">
      <c r="A30" t="s">
        <v>32</v>
      </c>
      <c r="B30" s="2">
        <v>0.41333333333333327</v>
      </c>
      <c r="C30" s="2">
        <v>1.29</v>
      </c>
      <c r="D30" s="2">
        <v>126.26666666666669</v>
      </c>
      <c r="E30" s="2">
        <v>2.2349999999999999</v>
      </c>
      <c r="F30" s="2">
        <v>64.166666666666671</v>
      </c>
      <c r="G30" s="2">
        <v>53.23</v>
      </c>
      <c r="H30" s="2">
        <f t="shared" si="1"/>
        <v>0.17084444444444441</v>
      </c>
      <c r="I30" s="2">
        <f t="shared" si="1"/>
        <v>1.6641000000000001</v>
      </c>
      <c r="J30" s="2">
        <f t="shared" si="1"/>
        <v>15943.271111111118</v>
      </c>
      <c r="K30" s="2">
        <f t="shared" si="1"/>
        <v>4.9952249999999996</v>
      </c>
      <c r="L30">
        <v>3.7751666666666668</v>
      </c>
      <c r="M30" s="2">
        <f t="shared" si="2"/>
        <v>14.251883361111112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</row>
    <row r="31" spans="1:24" x14ac:dyDescent="0.3">
      <c r="A31" t="s">
        <v>33</v>
      </c>
      <c r="B31" s="2">
        <v>1.666666666666667E-3</v>
      </c>
      <c r="C31" s="2">
        <v>0.68166666666666664</v>
      </c>
      <c r="D31" s="2">
        <v>137.30000000000001</v>
      </c>
      <c r="E31" s="2">
        <v>1.2133333333333329</v>
      </c>
      <c r="F31" s="2">
        <v>48.888888888888893</v>
      </c>
      <c r="G31" s="2">
        <v>44.36</v>
      </c>
      <c r="H31" s="2">
        <f t="shared" si="1"/>
        <v>2.7777777777777788E-6</v>
      </c>
      <c r="I31" s="2">
        <f t="shared" si="1"/>
        <v>0.46466944444444441</v>
      </c>
      <c r="J31" s="2">
        <f t="shared" si="1"/>
        <v>18851.290000000005</v>
      </c>
      <c r="K31" s="2">
        <f t="shared" si="1"/>
        <v>1.4721777777777767</v>
      </c>
      <c r="L31">
        <v>2.2925</v>
      </c>
      <c r="M31" s="2">
        <f t="shared" si="2"/>
        <v>5.2555562499999997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</row>
    <row r="32" spans="1:24" x14ac:dyDescent="0.3">
      <c r="A32" t="s">
        <v>34</v>
      </c>
      <c r="B32" s="2">
        <v>1.4750000000000001</v>
      </c>
      <c r="C32" s="2">
        <v>3.5216666666666669</v>
      </c>
      <c r="D32" s="2">
        <v>134.08333333333329</v>
      </c>
      <c r="E32" s="2">
        <v>2.078333333333334</v>
      </c>
      <c r="F32" s="2">
        <v>63.611111111111107</v>
      </c>
      <c r="G32" s="2">
        <v>52.9</v>
      </c>
      <c r="H32" s="2">
        <f t="shared" si="1"/>
        <v>2.1756250000000001</v>
      </c>
      <c r="I32" s="2">
        <f t="shared" si="1"/>
        <v>12.402136111111114</v>
      </c>
      <c r="J32" s="2">
        <f t="shared" si="1"/>
        <v>17978.340277777766</v>
      </c>
      <c r="K32" s="2">
        <f t="shared" si="1"/>
        <v>4.3194694444444472</v>
      </c>
      <c r="L32">
        <v>5.1806666666666663</v>
      </c>
      <c r="M32" s="2">
        <f t="shared" si="2"/>
        <v>26.839307111111108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</row>
    <row r="33" spans="1:24" x14ac:dyDescent="0.3">
      <c r="A33" t="s">
        <v>35</v>
      </c>
      <c r="B33" s="2">
        <v>0.64666666666666672</v>
      </c>
      <c r="C33" s="2">
        <v>1.84</v>
      </c>
      <c r="D33" s="2">
        <v>116.8333333333333</v>
      </c>
      <c r="E33" s="2">
        <v>1.8166666666666671</v>
      </c>
      <c r="F33" s="2">
        <v>67.083333333333329</v>
      </c>
      <c r="G33" s="2">
        <v>54.99</v>
      </c>
      <c r="H33" s="2">
        <f t="shared" si="1"/>
        <v>0.41817777777777787</v>
      </c>
      <c r="I33" s="2">
        <f t="shared" si="1"/>
        <v>3.3856000000000002</v>
      </c>
      <c r="J33" s="2">
        <f t="shared" si="1"/>
        <v>13650.02777777777</v>
      </c>
      <c r="K33" s="2">
        <f t="shared" si="1"/>
        <v>3.3002777777777794</v>
      </c>
      <c r="L33">
        <v>4.5996666666666668</v>
      </c>
      <c r="M33" s="2">
        <f t="shared" si="2"/>
        <v>21.156933444444444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</row>
    <row r="34" spans="1:24" x14ac:dyDescent="0.3">
      <c r="A34" t="s">
        <v>36</v>
      </c>
      <c r="B34" s="2">
        <v>0.45</v>
      </c>
      <c r="C34" s="2">
        <v>1.3866666666666669</v>
      </c>
      <c r="D34" s="2">
        <v>125.4166666666667</v>
      </c>
      <c r="E34" s="2">
        <v>1.845</v>
      </c>
      <c r="F34" s="2">
        <v>66.180555555555557</v>
      </c>
      <c r="G34" s="2">
        <v>54.44</v>
      </c>
      <c r="H34" s="2">
        <f t="shared" si="1"/>
        <v>0.20250000000000001</v>
      </c>
      <c r="I34" s="2">
        <f t="shared" si="1"/>
        <v>1.9228444444444452</v>
      </c>
      <c r="J34" s="2">
        <f t="shared" si="1"/>
        <v>15729.340277777786</v>
      </c>
      <c r="K34" s="2">
        <f t="shared" si="1"/>
        <v>3.4040249999999999</v>
      </c>
      <c r="L34">
        <v>4.418333333333333</v>
      </c>
      <c r="M34" s="2">
        <f t="shared" si="2"/>
        <v>19.521669444444441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</row>
    <row r="35" spans="1:24" x14ac:dyDescent="0.3">
      <c r="A35" t="s">
        <v>37</v>
      </c>
      <c r="B35" s="2">
        <v>0.1183333333333333</v>
      </c>
      <c r="C35" s="2">
        <v>0.53666666666666663</v>
      </c>
      <c r="D35" s="2">
        <v>182.15</v>
      </c>
      <c r="E35" s="2">
        <v>0</v>
      </c>
      <c r="F35" s="2">
        <v>35.902777777777779</v>
      </c>
      <c r="G35" s="2">
        <v>36.81</v>
      </c>
      <c r="H35" s="2">
        <f t="shared" si="1"/>
        <v>1.400277777777777E-2</v>
      </c>
      <c r="I35" s="2">
        <f t="shared" si="1"/>
        <v>0.28801111111111105</v>
      </c>
      <c r="J35" s="2">
        <f t="shared" si="1"/>
        <v>33178.622500000005</v>
      </c>
      <c r="K35" s="2">
        <f t="shared" si="1"/>
        <v>0</v>
      </c>
      <c r="L35">
        <v>2.4148333333333332</v>
      </c>
      <c r="M35" s="2">
        <f t="shared" si="2"/>
        <v>5.831420027777777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</row>
    <row r="36" spans="1:24" x14ac:dyDescent="0.3">
      <c r="A36" t="s">
        <v>38</v>
      </c>
      <c r="B36" s="2">
        <v>1.1166666666666669</v>
      </c>
      <c r="C36" s="2">
        <v>3.3583333333333329</v>
      </c>
      <c r="D36" s="2">
        <v>135.3833333333333</v>
      </c>
      <c r="E36" s="2">
        <v>1.5549999999999999</v>
      </c>
      <c r="F36" s="2">
        <v>48.194444444444443</v>
      </c>
      <c r="G36" s="2">
        <v>43.97</v>
      </c>
      <c r="H36" s="2">
        <f t="shared" si="1"/>
        <v>1.2469444444444451</v>
      </c>
      <c r="I36" s="2">
        <f t="shared" si="1"/>
        <v>11.278402777777774</v>
      </c>
      <c r="J36" s="2">
        <f t="shared" si="1"/>
        <v>18328.646944444434</v>
      </c>
      <c r="K36" s="2">
        <f t="shared" si="1"/>
        <v>2.4180249999999996</v>
      </c>
      <c r="L36">
        <v>5.2380000000000004</v>
      </c>
      <c r="M36" s="2">
        <f t="shared" si="2"/>
        <v>27.436644000000005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</row>
    <row r="37" spans="1:24" x14ac:dyDescent="0.3">
      <c r="A37" t="s">
        <v>39</v>
      </c>
      <c r="B37" s="2">
        <v>2.3266666666666671</v>
      </c>
      <c r="C37" s="2">
        <v>3.5016666666666669</v>
      </c>
      <c r="D37" s="2">
        <v>114.68333333333329</v>
      </c>
      <c r="E37" s="2">
        <v>1.52</v>
      </c>
      <c r="F37" s="2">
        <v>64.097222222222229</v>
      </c>
      <c r="G37" s="2">
        <v>53.19</v>
      </c>
      <c r="H37" s="2">
        <f t="shared" si="1"/>
        <v>5.4133777777777796</v>
      </c>
      <c r="I37" s="2">
        <f t="shared" si="1"/>
        <v>12.261669444444447</v>
      </c>
      <c r="J37" s="2">
        <f t="shared" si="1"/>
        <v>13152.266944444436</v>
      </c>
      <c r="K37" s="2">
        <f t="shared" si="1"/>
        <v>2.3104</v>
      </c>
      <c r="L37">
        <v>7.6448333333333336</v>
      </c>
      <c r="M37" s="2">
        <f t="shared" si="2"/>
        <v>58.443476694444449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</row>
    <row r="38" spans="1:24" x14ac:dyDescent="0.3">
      <c r="A38" t="s">
        <v>40</v>
      </c>
      <c r="B38" s="2">
        <v>1.958333333333333</v>
      </c>
      <c r="C38" s="2">
        <v>4.2216666666666667</v>
      </c>
      <c r="D38" s="2">
        <v>132.23333333333329</v>
      </c>
      <c r="E38" s="2">
        <v>1.4116666666666671</v>
      </c>
      <c r="F38" s="2">
        <v>65.972222222222229</v>
      </c>
      <c r="G38" s="2">
        <v>54.31</v>
      </c>
      <c r="H38" s="2">
        <f t="shared" si="1"/>
        <v>3.8350694444444433</v>
      </c>
      <c r="I38" s="2">
        <f t="shared" si="1"/>
        <v>17.822469444444444</v>
      </c>
      <c r="J38" s="2">
        <f t="shared" si="1"/>
        <v>17485.654444444433</v>
      </c>
      <c r="K38" s="2">
        <f t="shared" si="1"/>
        <v>1.9928027777777788</v>
      </c>
      <c r="L38">
        <v>6.6663333333333332</v>
      </c>
      <c r="M38" s="2">
        <f t="shared" si="2"/>
        <v>44.440000111111111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4f7d74-81ff-44a9-b588-6682acc85779}" enabled="0" method="" siteId="{b94f7d74-81ff-44a9-b588-6682acc857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chem_media</vt:lpstr>
      <vt:lpstr>fit</vt:lpstr>
      <vt:lpstr>Foglio2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Chiapparoli Lorenzo (lorenzo.chiapparoli)</cp:lastModifiedBy>
  <dcterms:created xsi:type="dcterms:W3CDTF">2026-04-01T14:35:55Z</dcterms:created>
  <dcterms:modified xsi:type="dcterms:W3CDTF">2026-04-29T20:40:32Z</dcterms:modified>
</cp:coreProperties>
</file>