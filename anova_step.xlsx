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ocuments\Dataset_completo\"/>
    </mc:Choice>
  </mc:AlternateContent>
  <xr:revisionPtr revIDLastSave="0" documentId="13_ncr:1_{84F3CB00-E3C2-4199-A8E6-4C37C5015E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6" i="1"/>
  <c r="G3" i="1"/>
  <c r="G4" i="1"/>
  <c r="C9" i="1"/>
  <c r="G5" i="1" s="1"/>
  <c r="G2" i="1" l="1"/>
  <c r="G7" i="1"/>
  <c r="G6" i="1"/>
</calcChain>
</file>

<file path=xl/sharedStrings.xml><?xml version="1.0" encoding="utf-8"?>
<sst xmlns="http://schemas.openxmlformats.org/spreadsheetml/2006/main" count="13" uniqueCount="13">
  <si>
    <t>Df</t>
  </si>
  <si>
    <t>Sum Sq</t>
  </si>
  <si>
    <t>Mean Sq</t>
  </si>
  <si>
    <t>F value</t>
  </si>
  <si>
    <t>Pr(&gt;F)</t>
  </si>
  <si>
    <t>varianza spiegata</t>
  </si>
  <si>
    <t>Acetic</t>
  </si>
  <si>
    <t>EtOH</t>
  </si>
  <si>
    <t>S2</t>
  </si>
  <si>
    <t>E2</t>
  </si>
  <si>
    <t>Cz</t>
  </si>
  <si>
    <t>Zb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</si>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</sst>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I9" sqref="I9"/>
    </sheetView>
  </sheetViews>
  <sheetFormatPr defaultRowHeight="14.4" x14ac:dyDescent="0.3"/>
  <cols>
    <col min="7" max="7" width="15.5546875" bestFit="1" customWidth="1"/>
  </cols>
  <sheetData>
    <row r="1" spans="1:8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x14ac:dyDescent="0.3">
      <c r="A2" t="s">
        <v>6</v>
      </c>
      <c r="B2">
        <v>1</v>
      </c>
      <c r="C2">
        <v>2219.7346619311929</v>
      </c>
      <c r="D2">
        <v>2219.7346619311929</v>
      </c>
      <c r="E2">
        <v>81.787683611821521</v>
      </c>
      <c r="F2">
        <v>6.1334147771144048E-10</v>
      </c>
      <c r="G2">
        <f>C2/$C$9*100</f>
        <v>37.075966831259585</v>
      </c>
      <c r="H2">
        <f>SUM(G2:G7)</f>
        <v>86.853729184828993</v>
      </c>
    </row>
    <row r="3" spans="1:8" x14ac:dyDescent="0.3">
      <c r="A3" t="s">
        <v>7</v>
      </c>
      <c r="B3">
        <v>1</v>
      </c>
      <c r="C3">
        <v>1571.0187217920391</v>
      </c>
      <c r="D3">
        <v>1571.0187217920391</v>
      </c>
      <c r="E3">
        <v>57.885288890514438</v>
      </c>
      <c r="F3">
        <v>2.180041831560723E-8</v>
      </c>
      <c r="G3">
        <f t="shared" ref="G3:G7" si="0">C3/$C$9*100</f>
        <v>26.240540826521098</v>
      </c>
    </row>
    <row r="4" spans="1:8" x14ac:dyDescent="0.3">
      <c r="A4" t="s">
        <v>8</v>
      </c>
      <c r="B4">
        <v>1</v>
      </c>
      <c r="C4">
        <v>1106.122201847561</v>
      </c>
      <c r="D4">
        <v>1106.122201847561</v>
      </c>
      <c r="E4">
        <v>40.755849891541637</v>
      </c>
      <c r="F4">
        <v>5.585480616166314E-7</v>
      </c>
      <c r="G4">
        <f t="shared" si="0"/>
        <v>18.475428964712556</v>
      </c>
    </row>
    <row r="5" spans="1:8" x14ac:dyDescent="0.3">
      <c r="A5" t="s">
        <v>9</v>
      </c>
      <c r="B5">
        <v>1</v>
      </c>
      <c r="C5">
        <v>192.3366799552104</v>
      </c>
      <c r="D5">
        <v>192.3366799552104</v>
      </c>
      <c r="E5">
        <v>7.0867801440010769</v>
      </c>
      <c r="F5">
        <v>1.253257176066578E-2</v>
      </c>
      <c r="G5">
        <f t="shared" si="0"/>
        <v>3.2125769303660219</v>
      </c>
    </row>
    <row r="6" spans="1:8" x14ac:dyDescent="0.3">
      <c r="A6" t="s">
        <v>10</v>
      </c>
      <c r="B6">
        <v>1</v>
      </c>
      <c r="C6">
        <v>60.818638299527898</v>
      </c>
      <c r="D6">
        <v>60.818638299527898</v>
      </c>
      <c r="E6">
        <v>2.240905470483566</v>
      </c>
      <c r="F6">
        <v>0.1452079626376625</v>
      </c>
      <c r="G6">
        <f t="shared" si="0"/>
        <v>1.0158465581439697</v>
      </c>
      <c r="H6">
        <f>SUM(G6:G7)</f>
        <v>1.8492156319697373</v>
      </c>
    </row>
    <row r="7" spans="1:8" x14ac:dyDescent="0.3">
      <c r="A7" t="s">
        <v>11</v>
      </c>
      <c r="B7">
        <v>1</v>
      </c>
      <c r="C7">
        <v>49.893728402866458</v>
      </c>
      <c r="D7">
        <v>49.893728402866458</v>
      </c>
      <c r="E7">
        <v>1.838369487494306</v>
      </c>
      <c r="F7">
        <v>0.185607135134947</v>
      </c>
      <c r="G7">
        <f t="shared" si="0"/>
        <v>0.83336907382576753</v>
      </c>
    </row>
    <row r="8" spans="1:8" x14ac:dyDescent="0.3">
      <c r="A8" t="s">
        <v>12</v>
      </c>
      <c r="B8">
        <v>29</v>
      </c>
      <c r="C8">
        <v>787.0660025233957</v>
      </c>
      <c r="D8">
        <v>27.140206983565371</v>
      </c>
    </row>
    <row r="9" spans="1:8" x14ac:dyDescent="0.3">
      <c r="C9">
        <f>SUM(C2:C8)</f>
        <v>5986.9906347517936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Chiapparoli Lorenzo (lorenzo.chiapparoli)</cp:lastModifiedBy>
  <dcterms:created xsi:type="dcterms:W3CDTF">2026-05-04T11:13:51Z</dcterms:created>
  <dcterms:modified xsi:type="dcterms:W3CDTF">2026-05-05T10:56:34Z</dcterms:modified>
</cp:coreProperties>
</file>