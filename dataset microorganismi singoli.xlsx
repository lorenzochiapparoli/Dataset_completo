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enzo.chiapparoli\Documents\Dataset_completo\"/>
    </mc:Choice>
  </mc:AlternateContent>
  <bookViews>
    <workbookView xWindow="-105" yWindow="-105" windowWidth="23250" windowHeight="12450" activeTab="2"/>
  </bookViews>
  <sheets>
    <sheet name="micro_singoli" sheetId="1" r:id="rId1"/>
    <sheet name="prove_joint" sheetId="3" r:id="rId2"/>
    <sheet name="prove_joint_day_5" sheetId="9" r:id="rId3"/>
    <sheet name="medie_corrette" sheetId="5" r:id="rId4"/>
    <sheet name="NT_joint" sheetId="4" r:id="rId5"/>
    <sheet name="pH_NT" sheetId="6" r:id="rId6"/>
    <sheet name="AC_tot_NT" sheetId="8" r:id="rId7"/>
  </sheets>
  <definedNames>
    <definedName name="_xlnm._FilterDatabase" localSheetId="6" hidden="1">AC_tot_NT!$D$1:$D$45</definedName>
    <definedName name="_xlnm._FilterDatabase" localSheetId="4" hidden="1">NT_joint!$H$2:$J$18</definedName>
    <definedName name="_xlnm._FilterDatabase" localSheetId="5" hidden="1">pH_NT!$C$1:$C$54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4" i="9" l="1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N89" i="9"/>
  <c r="F89" i="9"/>
  <c r="N88" i="9"/>
  <c r="F88" i="9"/>
  <c r="N87" i="9"/>
  <c r="F87" i="9"/>
  <c r="N86" i="9"/>
  <c r="F86" i="9"/>
  <c r="N85" i="9"/>
  <c r="F85" i="9"/>
  <c r="N84" i="9"/>
  <c r="F84" i="9"/>
  <c r="N83" i="9"/>
  <c r="F83" i="9"/>
  <c r="N82" i="9"/>
  <c r="F82" i="9"/>
  <c r="N81" i="9"/>
  <c r="F81" i="9"/>
  <c r="N80" i="9"/>
  <c r="F80" i="9"/>
  <c r="N79" i="9"/>
  <c r="F79" i="9"/>
  <c r="N78" i="9"/>
  <c r="F78" i="9"/>
  <c r="N77" i="9"/>
  <c r="F77" i="9"/>
  <c r="N76" i="9"/>
  <c r="F76" i="9"/>
  <c r="N75" i="9"/>
  <c r="F75" i="9"/>
  <c r="N74" i="9"/>
  <c r="F74" i="9"/>
  <c r="N73" i="9"/>
  <c r="F73" i="9"/>
  <c r="N72" i="9"/>
  <c r="F72" i="9"/>
  <c r="N71" i="9"/>
  <c r="F71" i="9"/>
  <c r="N70" i="9"/>
  <c r="F70" i="9"/>
  <c r="N69" i="9"/>
  <c r="F69" i="9"/>
  <c r="N68" i="9"/>
  <c r="F68" i="9"/>
  <c r="N67" i="9"/>
  <c r="F67" i="9"/>
  <c r="N66" i="9"/>
  <c r="F66" i="9"/>
  <c r="N65" i="9"/>
  <c r="F65" i="9"/>
  <c r="N64" i="9"/>
  <c r="F64" i="9"/>
  <c r="N63" i="9"/>
  <c r="F63" i="9"/>
  <c r="N62" i="9"/>
  <c r="F62" i="9"/>
  <c r="N61" i="9"/>
  <c r="F61" i="9"/>
  <c r="N60" i="9"/>
  <c r="F60" i="9"/>
  <c r="N59" i="9"/>
  <c r="F59" i="9"/>
  <c r="N58" i="9"/>
  <c r="F58" i="9"/>
  <c r="N57" i="9"/>
  <c r="F57" i="9"/>
  <c r="N56" i="9"/>
  <c r="F56" i="9"/>
  <c r="N55" i="9"/>
  <c r="F55" i="9"/>
  <c r="N54" i="9"/>
  <c r="F54" i="9"/>
  <c r="N53" i="9"/>
  <c r="F53" i="9"/>
  <c r="N52" i="9"/>
  <c r="F52" i="9"/>
  <c r="N51" i="9"/>
  <c r="F51" i="9"/>
  <c r="N50" i="9"/>
  <c r="F50" i="9"/>
  <c r="N49" i="9"/>
  <c r="F49" i="9"/>
  <c r="N48" i="9"/>
  <c r="F48" i="9"/>
  <c r="N47" i="9"/>
  <c r="F47" i="9"/>
  <c r="N46" i="9"/>
  <c r="F46" i="9"/>
  <c r="N45" i="9"/>
  <c r="F45" i="9"/>
  <c r="N44" i="9"/>
  <c r="F44" i="9"/>
  <c r="N43" i="9"/>
  <c r="F43" i="9"/>
  <c r="N42" i="9"/>
  <c r="F42" i="9"/>
  <c r="N41" i="9"/>
  <c r="F41" i="9"/>
  <c r="N40" i="9"/>
  <c r="F40" i="9"/>
  <c r="N39" i="9"/>
  <c r="F39" i="9"/>
  <c r="N38" i="9"/>
  <c r="F38" i="9"/>
  <c r="N37" i="9"/>
  <c r="F37" i="9"/>
  <c r="N36" i="9"/>
  <c r="F36" i="9"/>
  <c r="N35" i="9"/>
  <c r="F35" i="9"/>
  <c r="N34" i="9"/>
  <c r="F34" i="9"/>
  <c r="N33" i="9"/>
  <c r="F33" i="9"/>
  <c r="N32" i="9"/>
  <c r="F32" i="9"/>
  <c r="N31" i="9"/>
  <c r="F31" i="9"/>
  <c r="N30" i="9"/>
  <c r="F30" i="9"/>
  <c r="N29" i="9"/>
  <c r="F29" i="9"/>
  <c r="N28" i="9"/>
  <c r="F28" i="9"/>
  <c r="N27" i="9"/>
  <c r="F27" i="9"/>
  <c r="N26" i="9"/>
  <c r="F26" i="9"/>
  <c r="N25" i="9"/>
  <c r="F25" i="9"/>
  <c r="N24" i="9"/>
  <c r="F24" i="9"/>
  <c r="N23" i="9"/>
  <c r="F23" i="9"/>
  <c r="N22" i="9"/>
  <c r="F22" i="9"/>
  <c r="N21" i="9"/>
  <c r="F21" i="9"/>
  <c r="N20" i="9"/>
  <c r="F20" i="9"/>
  <c r="N19" i="9"/>
  <c r="F19" i="9"/>
  <c r="N18" i="9"/>
  <c r="F18" i="9"/>
  <c r="N17" i="9"/>
  <c r="F17" i="9"/>
  <c r="N16" i="9"/>
  <c r="F16" i="9"/>
  <c r="N15" i="9"/>
  <c r="F15" i="9"/>
  <c r="N14" i="9"/>
  <c r="F14" i="9"/>
  <c r="N13" i="9"/>
  <c r="F13" i="9"/>
  <c r="N12" i="9"/>
  <c r="F12" i="9"/>
  <c r="N11" i="9"/>
  <c r="F11" i="9"/>
  <c r="N10" i="9"/>
  <c r="F10" i="9"/>
  <c r="N9" i="9"/>
  <c r="F9" i="9"/>
  <c r="N8" i="9"/>
  <c r="F8" i="9"/>
  <c r="N7" i="9"/>
  <c r="F7" i="9"/>
  <c r="N6" i="9"/>
  <c r="F6" i="9"/>
  <c r="N5" i="9"/>
  <c r="F5" i="9"/>
  <c r="N4" i="9"/>
  <c r="F4" i="9"/>
  <c r="N3" i="9"/>
  <c r="F3" i="9"/>
  <c r="N2" i="9"/>
  <c r="F2" i="9"/>
  <c r="R9" i="4" l="1"/>
  <c r="R10" i="4"/>
  <c r="R11" i="4"/>
  <c r="R8" i="4"/>
  <c r="D36" i="8"/>
  <c r="D38" i="8"/>
  <c r="D40" i="8"/>
  <c r="D42" i="8"/>
  <c r="D44" i="8"/>
  <c r="D34" i="8"/>
  <c r="Q11" i="4"/>
  <c r="Q10" i="4"/>
  <c r="Q9" i="4"/>
  <c r="Q8" i="4"/>
  <c r="C44" i="6"/>
  <c r="C46" i="6"/>
  <c r="C48" i="6"/>
  <c r="C50" i="6"/>
  <c r="C52" i="6"/>
  <c r="C42" i="6"/>
  <c r="C7" i="6"/>
  <c r="C12" i="6"/>
  <c r="C17" i="6"/>
  <c r="C22" i="6"/>
  <c r="C27" i="6"/>
  <c r="C32" i="6"/>
  <c r="C37" i="6"/>
  <c r="C2" i="6"/>
  <c r="M89" i="3" l="1"/>
  <c r="M88" i="3"/>
  <c r="M87" i="3"/>
  <c r="M86" i="3"/>
  <c r="M45" i="3"/>
  <c r="M44" i="3"/>
  <c r="M43" i="3"/>
  <c r="M42" i="3"/>
  <c r="M85" i="3"/>
  <c r="M84" i="3"/>
  <c r="M83" i="3"/>
  <c r="M82" i="3"/>
  <c r="M41" i="3"/>
  <c r="M40" i="3"/>
  <c r="M39" i="3"/>
  <c r="M38" i="3"/>
  <c r="M81" i="3"/>
  <c r="M80" i="3"/>
  <c r="M79" i="3"/>
  <c r="M78" i="3"/>
  <c r="M37" i="3"/>
  <c r="M36" i="3"/>
  <c r="M35" i="3"/>
  <c r="M34" i="3"/>
  <c r="M77" i="3"/>
  <c r="M76" i="3"/>
  <c r="M75" i="3"/>
  <c r="M74" i="3"/>
  <c r="M33" i="3"/>
  <c r="M32" i="3"/>
  <c r="M31" i="3"/>
  <c r="M30" i="3"/>
  <c r="M73" i="3"/>
  <c r="M72" i="3"/>
  <c r="M71" i="3"/>
  <c r="M70" i="3"/>
  <c r="M29" i="3"/>
  <c r="M28" i="3"/>
  <c r="M27" i="3"/>
  <c r="M26" i="3"/>
  <c r="M69" i="3"/>
  <c r="M68" i="3"/>
  <c r="M67" i="3"/>
  <c r="M66" i="3"/>
  <c r="M25" i="3"/>
  <c r="M24" i="3"/>
  <c r="M23" i="3"/>
  <c r="M22" i="3"/>
  <c r="M65" i="3"/>
  <c r="M64" i="3"/>
  <c r="M63" i="3"/>
  <c r="M62" i="3"/>
  <c r="M21" i="3"/>
  <c r="M20" i="3"/>
  <c r="M19" i="3"/>
  <c r="M18" i="3"/>
  <c r="M61" i="3"/>
  <c r="M60" i="3"/>
  <c r="M59" i="3"/>
  <c r="M58" i="3"/>
  <c r="M17" i="3"/>
  <c r="M16" i="3"/>
  <c r="M15" i="3"/>
  <c r="M14" i="3"/>
  <c r="M57" i="3"/>
  <c r="M56" i="3"/>
  <c r="M55" i="3"/>
  <c r="M54" i="3"/>
  <c r="M13" i="3"/>
  <c r="M12" i="3"/>
  <c r="M11" i="3"/>
  <c r="M10" i="3"/>
  <c r="M53" i="3"/>
  <c r="M52" i="3"/>
  <c r="M51" i="3"/>
  <c r="M50" i="3"/>
  <c r="M9" i="3"/>
  <c r="M8" i="3"/>
  <c r="M7" i="3"/>
  <c r="M6" i="3"/>
  <c r="M49" i="3"/>
  <c r="M48" i="3"/>
  <c r="M47" i="3"/>
  <c r="M46" i="3"/>
  <c r="M5" i="3"/>
  <c r="M4" i="3"/>
  <c r="M3" i="3"/>
  <c r="M2" i="3"/>
  <c r="N11" i="4"/>
  <c r="O11" i="4"/>
  <c r="P11" i="4"/>
  <c r="O10" i="4"/>
  <c r="P10" i="4"/>
  <c r="N10" i="4"/>
  <c r="O9" i="4"/>
  <c r="P9" i="4"/>
  <c r="N9" i="4"/>
  <c r="O8" i="4"/>
  <c r="P8" i="4"/>
  <c r="N8" i="4"/>
  <c r="E27" i="3" l="1"/>
  <c r="E28" i="3"/>
  <c r="E29" i="3"/>
  <c r="E42" i="3"/>
  <c r="E43" i="3"/>
  <c r="E44" i="3"/>
  <c r="E45" i="3"/>
  <c r="E22" i="3"/>
  <c r="E23" i="3"/>
  <c r="E24" i="3"/>
  <c r="E25" i="3"/>
  <c r="E38" i="3"/>
  <c r="E39" i="3"/>
  <c r="E40" i="3"/>
  <c r="E41" i="3"/>
  <c r="E30" i="3"/>
  <c r="E31" i="3"/>
  <c r="E32" i="3"/>
  <c r="E33" i="3"/>
  <c r="E34" i="3"/>
  <c r="E35" i="3"/>
  <c r="E36" i="3"/>
  <c r="E37" i="3"/>
  <c r="E10" i="3"/>
  <c r="E11" i="3"/>
  <c r="E12" i="3"/>
  <c r="E13" i="3"/>
  <c r="E2" i="3"/>
  <c r="E3" i="3"/>
  <c r="E4" i="3"/>
  <c r="E5" i="3"/>
  <c r="E50" i="3"/>
  <c r="E51" i="3"/>
  <c r="E52" i="3"/>
  <c r="E53" i="3"/>
  <c r="E62" i="3"/>
  <c r="E63" i="3"/>
  <c r="E64" i="3"/>
  <c r="E65" i="3"/>
  <c r="E58" i="3"/>
  <c r="E59" i="3"/>
  <c r="E60" i="3"/>
  <c r="E61" i="3"/>
  <c r="E70" i="3"/>
  <c r="E71" i="3"/>
  <c r="E72" i="3"/>
  <c r="E73" i="3"/>
  <c r="E86" i="3"/>
  <c r="E87" i="3"/>
  <c r="E88" i="3"/>
  <c r="E89" i="3"/>
  <c r="E66" i="3"/>
  <c r="E67" i="3"/>
  <c r="E68" i="3"/>
  <c r="E69" i="3"/>
  <c r="E82" i="3"/>
  <c r="E83" i="3"/>
  <c r="E84" i="3"/>
  <c r="E85" i="3"/>
  <c r="E74" i="3"/>
  <c r="E75" i="3"/>
  <c r="E76" i="3"/>
  <c r="E77" i="3"/>
  <c r="E78" i="3"/>
  <c r="E79" i="3"/>
  <c r="E80" i="3"/>
  <c r="E81" i="3"/>
  <c r="E54" i="3"/>
  <c r="E55" i="3"/>
  <c r="E56" i="3"/>
  <c r="E57" i="3"/>
  <c r="E46" i="3"/>
  <c r="E47" i="3"/>
  <c r="E48" i="3"/>
  <c r="E49" i="3"/>
  <c r="E6" i="3"/>
  <c r="E7" i="3"/>
  <c r="E8" i="3"/>
  <c r="E9" i="3"/>
  <c r="E18" i="3"/>
  <c r="E19" i="3"/>
  <c r="E20" i="3"/>
  <c r="E21" i="3"/>
  <c r="E14" i="3"/>
  <c r="E15" i="3"/>
  <c r="E16" i="3"/>
  <c r="E17" i="3"/>
  <c r="E26" i="3"/>
  <c r="E155" i="3"/>
  <c r="E154" i="3"/>
  <c r="E153" i="3"/>
  <c r="E122" i="3"/>
  <c r="E121" i="3"/>
  <c r="E120" i="3"/>
  <c r="E152" i="3"/>
  <c r="E151" i="3"/>
  <c r="E150" i="3"/>
  <c r="E119" i="3"/>
  <c r="E118" i="3"/>
  <c r="E117" i="3"/>
  <c r="E149" i="3"/>
  <c r="E148" i="3"/>
  <c r="E147" i="3"/>
  <c r="E116" i="3"/>
  <c r="E115" i="3"/>
  <c r="E114" i="3"/>
  <c r="E146" i="3"/>
  <c r="E145" i="3"/>
  <c r="E144" i="3"/>
  <c r="E113" i="3"/>
  <c r="E112" i="3"/>
  <c r="E111" i="3"/>
  <c r="E143" i="3"/>
  <c r="E142" i="3"/>
  <c r="E141" i="3"/>
  <c r="E110" i="3"/>
  <c r="E109" i="3"/>
  <c r="E108" i="3"/>
  <c r="E140" i="3"/>
  <c r="E139" i="3"/>
  <c r="E138" i="3"/>
  <c r="E107" i="3"/>
  <c r="E106" i="3"/>
  <c r="E105" i="3"/>
  <c r="E137" i="3"/>
  <c r="E136" i="3"/>
  <c r="E135" i="3"/>
  <c r="E104" i="3"/>
  <c r="E103" i="3"/>
  <c r="E102" i="3"/>
  <c r="E134" i="3"/>
  <c r="E133" i="3"/>
  <c r="E132" i="3"/>
  <c r="E101" i="3"/>
  <c r="E100" i="3"/>
  <c r="E99" i="3"/>
  <c r="E131" i="3"/>
  <c r="E130" i="3"/>
  <c r="E129" i="3"/>
  <c r="E98" i="3"/>
  <c r="E97" i="3"/>
  <c r="E96" i="3"/>
  <c r="E128" i="3"/>
  <c r="E127" i="3"/>
  <c r="E126" i="3"/>
  <c r="E95" i="3"/>
  <c r="E94" i="3"/>
  <c r="E93" i="3"/>
  <c r="E125" i="3"/>
  <c r="E124" i="3"/>
  <c r="E123" i="3"/>
  <c r="E92" i="3"/>
  <c r="E91" i="3"/>
  <c r="E90" i="3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86" i="1"/>
  <c r="A131" i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  <c r="F155" i="9" l="1"/>
</calcChain>
</file>

<file path=xl/sharedStrings.xml><?xml version="1.0" encoding="utf-8"?>
<sst xmlns="http://schemas.openxmlformats.org/spreadsheetml/2006/main" count="1325" uniqueCount="89">
  <si>
    <t>Trial</t>
  </si>
  <si>
    <t>Micro</t>
  </si>
  <si>
    <t>Replica</t>
  </si>
  <si>
    <t>McKinney</t>
  </si>
  <si>
    <t>A. syzygii</t>
  </si>
  <si>
    <t>C. zemplinina</t>
  </si>
  <si>
    <t>H. uvarum</t>
  </si>
  <si>
    <t>M. pulcherrima</t>
  </si>
  <si>
    <t>NT</t>
  </si>
  <si>
    <t>P. occidentalis</t>
  </si>
  <si>
    <t>P. terricola</t>
  </si>
  <si>
    <t>S. vini</t>
  </si>
  <si>
    <t>T. delbrueckii</t>
  </si>
  <si>
    <t>Z. bailii</t>
  </si>
  <si>
    <t>Z. hellenicus</t>
  </si>
  <si>
    <t>NT AAB</t>
  </si>
  <si>
    <t>NT Y</t>
  </si>
  <si>
    <t>G. oxydans</t>
  </si>
  <si>
    <t>Trial_1</t>
  </si>
  <si>
    <t>Trial_2</t>
  </si>
  <si>
    <t>Trial_3</t>
  </si>
  <si>
    <t>Trial_4</t>
  </si>
  <si>
    <t>Citric</t>
  </si>
  <si>
    <t>Tartaric</t>
  </si>
  <si>
    <t>Malic</t>
  </si>
  <si>
    <t>Succinic</t>
  </si>
  <si>
    <t>Gluconic</t>
  </si>
  <si>
    <t>Acetic</t>
  </si>
  <si>
    <t>G+F</t>
  </si>
  <si>
    <t>EtOH</t>
  </si>
  <si>
    <t>pH</t>
  </si>
  <si>
    <t>acidità titolabile</t>
  </si>
  <si>
    <t>arc_mck</t>
  </si>
  <si>
    <t>H.uvarum</t>
  </si>
  <si>
    <t>A. syzigii</t>
  </si>
  <si>
    <t>Temperatura</t>
  </si>
  <si>
    <t>Acetico</t>
  </si>
  <si>
    <t>Glucosio + fruttosio</t>
  </si>
  <si>
    <t>Etanolo</t>
  </si>
  <si>
    <t>Trial 1 (Italia)</t>
  </si>
  <si>
    <t>Trial 2 (Italia)</t>
  </si>
  <si>
    <t>Trial 3 (Jack's Salute)</t>
  </si>
  <si>
    <t>Trial 4 (Allison)</t>
  </si>
  <si>
    <t>NT (bacche non ferite)</t>
  </si>
  <si>
    <t>NT + brodo coltura lieviti</t>
  </si>
  <si>
    <t>NT + brodo coltura batteri</t>
  </si>
  <si>
    <t>emmean</t>
  </si>
  <si>
    <t>SE</t>
  </si>
  <si>
    <t>Letter</t>
  </si>
  <si>
    <t>1</t>
  </si>
  <si>
    <t>a</t>
  </si>
  <si>
    <t>2</t>
  </si>
  <si>
    <t>ab</t>
  </si>
  <si>
    <t>3</t>
  </si>
  <si>
    <t>abc</t>
  </si>
  <si>
    <t>4</t>
  </si>
  <si>
    <t>c</t>
  </si>
  <si>
    <t>b</t>
  </si>
  <si>
    <t>Acetic_NT</t>
  </si>
  <si>
    <t>GF_NT</t>
  </si>
  <si>
    <t>EtOH_NT</t>
  </si>
  <si>
    <t>Temperatura_cat</t>
  </si>
  <si>
    <t>OPT</t>
  </si>
  <si>
    <t>CYCL</t>
  </si>
  <si>
    <t>1l</t>
  </si>
  <si>
    <t>1a</t>
  </si>
  <si>
    <t>2l</t>
  </si>
  <si>
    <t>2a</t>
  </si>
  <si>
    <t>3a</t>
  </si>
  <si>
    <t>3l</t>
  </si>
  <si>
    <t>4a</t>
  </si>
  <si>
    <t>4l</t>
  </si>
  <si>
    <t>pH_avg</t>
  </si>
  <si>
    <t>pH_NT</t>
  </si>
  <si>
    <t>Ac. Totale</t>
  </si>
  <si>
    <t>Ac_tot_NT</t>
  </si>
  <si>
    <t>Ac_tot</t>
  </si>
  <si>
    <t>Micro_ext</t>
  </si>
  <si>
    <t>As</t>
  </si>
  <si>
    <t>Cz</t>
  </si>
  <si>
    <t>Mp</t>
  </si>
  <si>
    <t>Go</t>
  </si>
  <si>
    <t>Hu</t>
  </si>
  <si>
    <t>Po</t>
  </si>
  <si>
    <t>Pt</t>
  </si>
  <si>
    <t>Sv</t>
  </si>
  <si>
    <t>Td</t>
  </si>
  <si>
    <t>Zb</t>
  </si>
  <si>
    <t>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</si>
</sst>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3" fillId="0" borderId="0" xfId="0" applyFont="1"/>
    <xf numFmtId="1" fontId="2" fillId="0" borderId="1" xfId="0" applyNumberFormat="1" applyFont="1" applyBorder="1"/>
    <xf numFmtId="0" fontId="0" fillId="0" borderId="2" xfId="0" applyBorder="1"/>
    <xf numFmtId="1" fontId="0" fillId="0" borderId="4" xfId="0" applyNumberFormat="1" applyBorder="1"/>
    <xf numFmtId="2" fontId="3" fillId="0" borderId="0" xfId="0" applyNumberFormat="1" applyFont="1"/>
    <xf numFmtId="1" fontId="3" fillId="0" borderId="0" xfId="0" applyNumberFormat="1" applyFont="1"/>
    <xf numFmtId="2" fontId="3" fillId="0" borderId="5" xfId="0" applyNumberFormat="1" applyFont="1" applyBorder="1"/>
    <xf numFmtId="0" fontId="0" fillId="0" borderId="4" xfId="0" applyBorder="1"/>
    <xf numFmtId="2" fontId="0" fillId="0" borderId="5" xfId="0" applyNumberFormat="1" applyBorder="1"/>
    <xf numFmtId="1" fontId="0" fillId="0" borderId="6" xfId="0" applyNumberFormat="1" applyBorder="1"/>
    <xf numFmtId="2" fontId="0" fillId="0" borderId="7" xfId="0" applyNumberFormat="1" applyBorder="1"/>
    <xf numFmtId="1" fontId="0" fillId="0" borderId="7" xfId="0" applyNumberFormat="1" applyBorder="1"/>
    <xf numFmtId="2" fontId="0" fillId="0" borderId="8" xfId="0" applyNumberFormat="1" applyBorder="1"/>
    <xf numFmtId="0" fontId="4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2" fontId="0" fillId="0" borderId="0" xfId="0" applyNumberFormat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3"/>
  <sheetViews>
    <sheetView topLeftCell="A62" workbookViewId="0">
      <selection activeCell="O85" sqref="A74:O85"/>
    </sheetView>
  </sheetViews>
  <sheetFormatPr defaultRowHeight="15" x14ac:dyDescent="0.25"/>
  <cols>
    <col min="2" max="2" width="35.85546875" bestFit="1" customWidth="1"/>
    <col min="3" max="3" width="12" bestFit="1" customWidth="1"/>
    <col min="4" max="4" width="13.28515625" bestFit="1" customWidth="1"/>
    <col min="5" max="6" width="12" bestFit="1" customWidth="1"/>
    <col min="15" max="15" width="15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25">
      <c r="A2" t="s">
        <v>20</v>
      </c>
      <c r="B2" t="s">
        <v>4</v>
      </c>
      <c r="C2">
        <v>1</v>
      </c>
      <c r="D2">
        <v>35</v>
      </c>
      <c r="E2">
        <f>ASIN(SQRT(D2/100))*180/PI()</f>
        <v>36.271198438138953</v>
      </c>
      <c r="F2">
        <v>0.33590503591867826</v>
      </c>
      <c r="G2">
        <v>2.6432865234828422</v>
      </c>
      <c r="H2">
        <v>2.1456403091222547</v>
      </c>
      <c r="I2">
        <v>0.31285292175157564</v>
      </c>
      <c r="J2">
        <v>1</v>
      </c>
      <c r="K2">
        <v>0.54</v>
      </c>
      <c r="L2">
        <v>173</v>
      </c>
      <c r="M2">
        <v>0</v>
      </c>
      <c r="N2">
        <v>3.27</v>
      </c>
      <c r="O2">
        <v>3.7690000000000001</v>
      </c>
    </row>
    <row r="3" spans="1:15" x14ac:dyDescent="0.25">
      <c r="A3" t="s">
        <v>20</v>
      </c>
      <c r="B3" t="s">
        <v>4</v>
      </c>
      <c r="C3">
        <v>2</v>
      </c>
      <c r="D3">
        <v>41.666666666666671</v>
      </c>
      <c r="E3">
        <f t="shared" ref="E3:E25" si="0">ASIN(SQRT(D3/100))*180/PI()</f>
        <v>40.202965886569778</v>
      </c>
      <c r="F3">
        <v>0.38615951336320903</v>
      </c>
      <c r="G3">
        <v>2.6266573443478669</v>
      </c>
      <c r="H3">
        <v>2.3764187529093554</v>
      </c>
      <c r="I3">
        <v>0.36961061236758325</v>
      </c>
      <c r="J3">
        <v>1.26</v>
      </c>
      <c r="K3">
        <v>0.6</v>
      </c>
      <c r="L3">
        <v>193.5</v>
      </c>
      <c r="M3">
        <v>0</v>
      </c>
      <c r="N3">
        <v>3.42</v>
      </c>
      <c r="O3">
        <v>3.3479999999999999</v>
      </c>
    </row>
    <row r="4" spans="1:15" x14ac:dyDescent="0.25">
      <c r="A4" t="s">
        <v>20</v>
      </c>
      <c r="B4" t="s">
        <v>4</v>
      </c>
      <c r="C4">
        <v>3</v>
      </c>
      <c r="D4">
        <v>36.538461538461533</v>
      </c>
      <c r="E4">
        <f t="shared" si="0"/>
        <v>37.190750862175719</v>
      </c>
      <c r="F4">
        <v>0.36633675738937033</v>
      </c>
      <c r="G4">
        <v>2.7736466851833965</v>
      </c>
      <c r="H4">
        <v>2.2425691970776191</v>
      </c>
      <c r="I4">
        <v>0.33705542648431541</v>
      </c>
      <c r="J4">
        <v>1.59</v>
      </c>
      <c r="K4">
        <v>0.65</v>
      </c>
      <c r="L4">
        <v>179.4</v>
      </c>
      <c r="M4">
        <v>0</v>
      </c>
      <c r="N4">
        <v>3.25</v>
      </c>
      <c r="O4">
        <v>3.8959999999999999</v>
      </c>
    </row>
    <row r="5" spans="1:15" x14ac:dyDescent="0.25">
      <c r="A5" t="s">
        <v>21</v>
      </c>
      <c r="B5" t="s">
        <v>4</v>
      </c>
      <c r="C5">
        <v>1</v>
      </c>
      <c r="D5">
        <v>42.5</v>
      </c>
      <c r="E5">
        <f t="shared" si="0"/>
        <v>40.686536720660683</v>
      </c>
      <c r="F5">
        <v>0.80276953268330176</v>
      </c>
      <c r="G5">
        <v>3.1852172667336474</v>
      </c>
      <c r="H5">
        <v>4.8414112644491096</v>
      </c>
      <c r="I5">
        <v>2.1906352088265426</v>
      </c>
      <c r="J5">
        <v>1.28</v>
      </c>
      <c r="K5">
        <v>0.42</v>
      </c>
      <c r="L5">
        <v>201.8</v>
      </c>
      <c r="M5">
        <v>1.51</v>
      </c>
      <c r="N5">
        <v>4.54</v>
      </c>
      <c r="O5">
        <v>2.5539999999999998</v>
      </c>
    </row>
    <row r="6" spans="1:15" x14ac:dyDescent="0.25">
      <c r="A6" t="s">
        <v>21</v>
      </c>
      <c r="B6" t="s">
        <v>4</v>
      </c>
      <c r="C6">
        <v>2</v>
      </c>
      <c r="D6">
        <v>45.833333333333329</v>
      </c>
      <c r="E6">
        <f t="shared" si="0"/>
        <v>42.609904076400426</v>
      </c>
      <c r="F6">
        <v>0.72680080132301761</v>
      </c>
      <c r="G6">
        <v>3.2052497136472731</v>
      </c>
      <c r="H6">
        <v>4.5931576708315349</v>
      </c>
      <c r="I6">
        <v>2.2667483450922212</v>
      </c>
      <c r="J6">
        <v>1.68</v>
      </c>
      <c r="K6">
        <v>0.59</v>
      </c>
      <c r="L6">
        <v>185.1</v>
      </c>
      <c r="M6">
        <v>1.47</v>
      </c>
      <c r="N6">
        <v>3.52</v>
      </c>
      <c r="O6">
        <v>2.996</v>
      </c>
    </row>
    <row r="7" spans="1:15" x14ac:dyDescent="0.25">
      <c r="A7" t="s">
        <v>21</v>
      </c>
      <c r="B7" t="s">
        <v>4</v>
      </c>
      <c r="C7">
        <v>3</v>
      </c>
      <c r="D7">
        <v>52.272727272727273</v>
      </c>
      <c r="E7">
        <f t="shared" si="0"/>
        <v>46.302625632528645</v>
      </c>
      <c r="F7">
        <v>0.75771323487215869</v>
      </c>
      <c r="G7">
        <v>3.6038421660864999</v>
      </c>
      <c r="H7">
        <v>4.4565493861394359</v>
      </c>
      <c r="I7">
        <v>2.5307878643313426</v>
      </c>
      <c r="J7">
        <v>1.34</v>
      </c>
      <c r="K7">
        <v>0.59</v>
      </c>
      <c r="L7">
        <v>164.6</v>
      </c>
      <c r="M7">
        <v>1.37</v>
      </c>
      <c r="N7">
        <v>3.41</v>
      </c>
      <c r="O7">
        <v>2.9649999999999999</v>
      </c>
    </row>
    <row r="8" spans="1:15" x14ac:dyDescent="0.25">
      <c r="A8" t="s">
        <v>20</v>
      </c>
      <c r="B8" t="s">
        <v>5</v>
      </c>
      <c r="C8">
        <v>1</v>
      </c>
      <c r="D8">
        <v>30.357142857142851</v>
      </c>
      <c r="E8">
        <f t="shared" si="0"/>
        <v>33.433801800351063</v>
      </c>
      <c r="F8">
        <v>0.2565072819881436</v>
      </c>
      <c r="G8">
        <v>1.5153555762197091</v>
      </c>
      <c r="H8">
        <v>2.165369594328578</v>
      </c>
      <c r="I8">
        <v>0.2195351105179196</v>
      </c>
      <c r="J8">
        <v>0</v>
      </c>
      <c r="K8">
        <v>0.44</v>
      </c>
      <c r="L8">
        <v>197.4</v>
      </c>
      <c r="M8">
        <v>1.02</v>
      </c>
      <c r="N8">
        <v>3.46</v>
      </c>
      <c r="O8">
        <v>2.5129999999999999</v>
      </c>
    </row>
    <row r="9" spans="1:15" x14ac:dyDescent="0.25">
      <c r="A9" t="s">
        <v>20</v>
      </c>
      <c r="B9" t="s">
        <v>5</v>
      </c>
      <c r="C9">
        <v>2</v>
      </c>
      <c r="D9">
        <v>26.666666666666671</v>
      </c>
      <c r="E9">
        <f t="shared" si="0"/>
        <v>31.090930357673042</v>
      </c>
      <c r="F9">
        <v>0.21270783707127566</v>
      </c>
      <c r="G9">
        <v>1.734307502857132</v>
      </c>
      <c r="H9">
        <v>2.0683084239375273</v>
      </c>
      <c r="I9">
        <v>0.31159942338476726</v>
      </c>
      <c r="J9">
        <v>0</v>
      </c>
      <c r="K9">
        <v>0.3</v>
      </c>
      <c r="L9">
        <v>188.5</v>
      </c>
      <c r="M9">
        <v>0.7</v>
      </c>
      <c r="N9">
        <v>3.41</v>
      </c>
      <c r="O9">
        <v>2.4049999999999998</v>
      </c>
    </row>
    <row r="10" spans="1:15" x14ac:dyDescent="0.25">
      <c r="A10" t="s">
        <v>20</v>
      </c>
      <c r="B10" t="s">
        <v>5</v>
      </c>
      <c r="C10">
        <v>3</v>
      </c>
      <c r="D10">
        <v>31.666666666666661</v>
      </c>
      <c r="E10">
        <f t="shared" si="0"/>
        <v>34.244905866556259</v>
      </c>
      <c r="F10">
        <v>0.24047899222501037</v>
      </c>
      <c r="G10">
        <v>1.5584440542557676</v>
      </c>
      <c r="H10">
        <v>2.1338874414290538</v>
      </c>
      <c r="I10">
        <v>0.3770034208091641</v>
      </c>
      <c r="J10">
        <v>0.02</v>
      </c>
      <c r="K10">
        <v>0.33</v>
      </c>
      <c r="L10">
        <v>183.8</v>
      </c>
      <c r="M10">
        <v>0.14000000000000001</v>
      </c>
      <c r="N10">
        <v>3.77</v>
      </c>
      <c r="O10">
        <v>2.1110000000000002</v>
      </c>
    </row>
    <row r="11" spans="1:15" x14ac:dyDescent="0.25">
      <c r="A11" t="s">
        <v>21</v>
      </c>
      <c r="B11" t="s">
        <v>5</v>
      </c>
      <c r="C11">
        <v>1</v>
      </c>
      <c r="D11">
        <v>4.5454545454545459</v>
      </c>
      <c r="E11">
        <f t="shared" si="0"/>
        <v>12.30998866432855</v>
      </c>
      <c r="F11">
        <v>0.55801706984969979</v>
      </c>
      <c r="G11">
        <v>3.4672911863476736</v>
      </c>
      <c r="H11">
        <v>5.1722293670178772</v>
      </c>
      <c r="I11">
        <v>1.2848924644303408</v>
      </c>
      <c r="J11">
        <v>0</v>
      </c>
      <c r="K11">
        <v>0.13</v>
      </c>
      <c r="L11">
        <v>212.2</v>
      </c>
      <c r="M11">
        <v>0.22</v>
      </c>
      <c r="N11">
        <v>5.0999999999999996</v>
      </c>
      <c r="O11">
        <v>2.1960000000000002</v>
      </c>
    </row>
    <row r="12" spans="1:15" x14ac:dyDescent="0.25">
      <c r="A12" t="s">
        <v>21</v>
      </c>
      <c r="B12" t="s">
        <v>5</v>
      </c>
      <c r="C12">
        <v>2</v>
      </c>
      <c r="D12">
        <v>4.5454545454545459</v>
      </c>
      <c r="E12">
        <f t="shared" si="0"/>
        <v>12.30998866432855</v>
      </c>
      <c r="F12">
        <v>0.5198205248596206</v>
      </c>
      <c r="G12">
        <v>3.5009351023355251</v>
      </c>
      <c r="H12">
        <v>4.9473268236804584</v>
      </c>
      <c r="I12">
        <v>1.5651425047603158</v>
      </c>
      <c r="J12">
        <v>0</v>
      </c>
      <c r="K12">
        <v>0.19</v>
      </c>
      <c r="L12">
        <v>206.8</v>
      </c>
      <c r="M12">
        <v>0</v>
      </c>
      <c r="N12">
        <v>5.16</v>
      </c>
      <c r="O12">
        <v>2.2050000000000001</v>
      </c>
    </row>
    <row r="13" spans="1:15" x14ac:dyDescent="0.25">
      <c r="A13" t="s">
        <v>21</v>
      </c>
      <c r="B13" t="s">
        <v>5</v>
      </c>
      <c r="C13">
        <v>3</v>
      </c>
      <c r="D13">
        <v>2.2727272727272729</v>
      </c>
      <c r="E13">
        <f t="shared" si="0"/>
        <v>8.6707214013798826</v>
      </c>
      <c r="F13">
        <v>0.47249301189985554</v>
      </c>
      <c r="G13">
        <v>3.6382587995505333</v>
      </c>
      <c r="H13">
        <v>4.8623097556998864</v>
      </c>
      <c r="I13">
        <v>1.9379844898499448</v>
      </c>
      <c r="J13">
        <v>0</v>
      </c>
      <c r="K13">
        <v>0.22</v>
      </c>
      <c r="L13">
        <v>206.2</v>
      </c>
      <c r="M13">
        <v>0</v>
      </c>
      <c r="N13">
        <v>5.47</v>
      </c>
      <c r="O13">
        <v>2.496</v>
      </c>
    </row>
    <row r="14" spans="1:15" x14ac:dyDescent="0.25">
      <c r="A14" t="s">
        <v>20</v>
      </c>
      <c r="B14" t="s">
        <v>17</v>
      </c>
      <c r="C14">
        <v>1</v>
      </c>
      <c r="D14">
        <v>35</v>
      </c>
      <c r="E14">
        <f t="shared" si="0"/>
        <v>36.271198438138953</v>
      </c>
      <c r="F14">
        <v>0.39388420638936855</v>
      </c>
      <c r="G14">
        <v>2.5089890805439392</v>
      </c>
      <c r="H14">
        <v>2.2665304534320705</v>
      </c>
      <c r="I14">
        <v>0.24289847187311706</v>
      </c>
      <c r="J14">
        <v>1.7</v>
      </c>
      <c r="K14">
        <v>0.69</v>
      </c>
      <c r="L14">
        <v>187.5</v>
      </c>
      <c r="M14">
        <v>0.16</v>
      </c>
      <c r="N14">
        <v>3.31</v>
      </c>
      <c r="O14">
        <v>3.5859999999999999</v>
      </c>
    </row>
    <row r="15" spans="1:15" x14ac:dyDescent="0.25">
      <c r="A15" t="s">
        <v>20</v>
      </c>
      <c r="B15" t="s">
        <v>17</v>
      </c>
      <c r="C15">
        <v>2</v>
      </c>
      <c r="D15">
        <v>31.666666666666661</v>
      </c>
      <c r="E15">
        <f t="shared" si="0"/>
        <v>34.244905866556259</v>
      </c>
      <c r="F15">
        <v>0.3610941780613478</v>
      </c>
      <c r="G15">
        <v>2.2458005469321085</v>
      </c>
      <c r="H15">
        <v>2.1345413860506324</v>
      </c>
      <c r="I15">
        <v>0.36943473506998109</v>
      </c>
      <c r="J15">
        <v>0.72</v>
      </c>
      <c r="K15">
        <v>0.56000000000000005</v>
      </c>
      <c r="L15">
        <v>158.80000000000001</v>
      </c>
      <c r="M15">
        <v>0.18</v>
      </c>
      <c r="N15">
        <v>3.23</v>
      </c>
      <c r="O15">
        <v>2.8919999999999999</v>
      </c>
    </row>
    <row r="16" spans="1:15" x14ac:dyDescent="0.25">
      <c r="A16" t="s">
        <v>20</v>
      </c>
      <c r="B16" t="s">
        <v>17</v>
      </c>
      <c r="C16">
        <v>3</v>
      </c>
      <c r="D16">
        <v>41.666666666666671</v>
      </c>
      <c r="E16">
        <f t="shared" si="0"/>
        <v>40.202965886569778</v>
      </c>
      <c r="F16">
        <v>0.36962745783402806</v>
      </c>
      <c r="G16">
        <v>2.5638397390432908</v>
      </c>
      <c r="H16">
        <v>2.2635978371764098</v>
      </c>
      <c r="I16">
        <v>0.40030567225587266</v>
      </c>
      <c r="J16">
        <v>0.83</v>
      </c>
      <c r="K16">
        <v>0.52</v>
      </c>
      <c r="L16">
        <v>135.4</v>
      </c>
      <c r="M16">
        <v>0.1</v>
      </c>
      <c r="N16">
        <v>3.24</v>
      </c>
      <c r="O16">
        <v>3.3580000000000001</v>
      </c>
    </row>
    <row r="17" spans="1:15" x14ac:dyDescent="0.25">
      <c r="A17" t="s">
        <v>21</v>
      </c>
      <c r="B17" t="s">
        <v>17</v>
      </c>
      <c r="C17">
        <v>1</v>
      </c>
      <c r="D17">
        <v>50</v>
      </c>
      <c r="E17">
        <f t="shared" si="0"/>
        <v>45.000000000000007</v>
      </c>
      <c r="F17">
        <v>0.71022690762004625</v>
      </c>
      <c r="G17">
        <v>3.756419423764302</v>
      </c>
      <c r="H17">
        <v>5.1986165125558026</v>
      </c>
      <c r="I17">
        <v>1.9770993027395427</v>
      </c>
      <c r="J17">
        <v>1.81</v>
      </c>
      <c r="K17">
        <v>0.57999999999999996</v>
      </c>
      <c r="L17">
        <v>190.6</v>
      </c>
      <c r="M17">
        <v>2.15</v>
      </c>
      <c r="N17">
        <v>3.59</v>
      </c>
      <c r="O17">
        <v>3.0030000000000001</v>
      </c>
    </row>
    <row r="18" spans="1:15" x14ac:dyDescent="0.25">
      <c r="A18" t="s">
        <v>21</v>
      </c>
      <c r="B18" t="s">
        <v>17</v>
      </c>
      <c r="C18">
        <v>2</v>
      </c>
      <c r="D18">
        <v>41.666666666666671</v>
      </c>
      <c r="E18">
        <f t="shared" si="0"/>
        <v>40.202965886569778</v>
      </c>
      <c r="F18">
        <v>0.76638398293015031</v>
      </c>
      <c r="G18">
        <v>3.711956395082983</v>
      </c>
      <c r="H18">
        <v>4.9921705693781435</v>
      </c>
      <c r="I18">
        <v>1.8956546995796031</v>
      </c>
      <c r="J18">
        <v>1.62</v>
      </c>
      <c r="K18">
        <v>0.54</v>
      </c>
      <c r="L18">
        <v>219.7</v>
      </c>
      <c r="M18">
        <v>1.93</v>
      </c>
      <c r="N18">
        <v>3.45</v>
      </c>
      <c r="O18">
        <v>2.9350000000000001</v>
      </c>
    </row>
    <row r="19" spans="1:15" x14ac:dyDescent="0.25">
      <c r="A19" t="s">
        <v>21</v>
      </c>
      <c r="B19" t="s">
        <v>17</v>
      </c>
      <c r="C19">
        <v>3</v>
      </c>
      <c r="D19">
        <v>50</v>
      </c>
      <c r="E19">
        <f t="shared" si="0"/>
        <v>45.000000000000007</v>
      </c>
      <c r="F19">
        <v>0.94797617246530297</v>
      </c>
      <c r="G19">
        <v>3.6613329871305953</v>
      </c>
      <c r="H19">
        <v>5.351431529207157</v>
      </c>
      <c r="I19">
        <v>1.3000179120241235</v>
      </c>
      <c r="J19">
        <v>1.36</v>
      </c>
      <c r="K19">
        <v>0.37</v>
      </c>
      <c r="L19">
        <v>198.1</v>
      </c>
      <c r="M19">
        <v>1.67</v>
      </c>
      <c r="N19">
        <v>3.51</v>
      </c>
      <c r="O19">
        <v>2.7959999999999998</v>
      </c>
    </row>
    <row r="20" spans="1:15" x14ac:dyDescent="0.25">
      <c r="A20" t="s">
        <v>20</v>
      </c>
      <c r="B20" t="s">
        <v>6</v>
      </c>
      <c r="C20">
        <v>1</v>
      </c>
      <c r="D20">
        <v>56.666666666666657</v>
      </c>
      <c r="E20">
        <f t="shared" si="0"/>
        <v>48.831127830383025</v>
      </c>
      <c r="F20">
        <v>0.24589917033157171</v>
      </c>
      <c r="G20">
        <v>1.4245439173308792</v>
      </c>
      <c r="H20">
        <v>1.9350381371588365</v>
      </c>
      <c r="I20">
        <v>0.44127613968373025</v>
      </c>
      <c r="J20">
        <v>0</v>
      </c>
      <c r="K20">
        <v>0.78</v>
      </c>
      <c r="L20">
        <v>160</v>
      </c>
      <c r="M20">
        <v>2.44</v>
      </c>
      <c r="N20">
        <v>3.87</v>
      </c>
      <c r="O20">
        <v>2.3580000000000001</v>
      </c>
    </row>
    <row r="21" spans="1:15" x14ac:dyDescent="0.25">
      <c r="A21" t="s">
        <v>20</v>
      </c>
      <c r="B21" t="s">
        <v>6</v>
      </c>
      <c r="C21">
        <v>2</v>
      </c>
      <c r="D21">
        <v>48.333333333333343</v>
      </c>
      <c r="E21">
        <f t="shared" si="0"/>
        <v>44.044893414145044</v>
      </c>
      <c r="F21">
        <v>0.25688553323282015</v>
      </c>
      <c r="G21">
        <v>1.4722574859413762</v>
      </c>
      <c r="H21">
        <v>1.9669064694270579</v>
      </c>
      <c r="I21">
        <v>0.4385023460325646</v>
      </c>
      <c r="J21">
        <v>0</v>
      </c>
      <c r="K21">
        <v>0.77</v>
      </c>
      <c r="L21">
        <v>141.5</v>
      </c>
      <c r="M21">
        <v>2.2000000000000002</v>
      </c>
      <c r="N21">
        <v>3.93</v>
      </c>
      <c r="O21">
        <v>2.2450000000000001</v>
      </c>
    </row>
    <row r="22" spans="1:15" x14ac:dyDescent="0.25">
      <c r="A22" t="s">
        <v>20</v>
      </c>
      <c r="B22" t="s">
        <v>6</v>
      </c>
      <c r="C22">
        <v>3</v>
      </c>
      <c r="D22">
        <v>48.333333333333343</v>
      </c>
      <c r="E22">
        <f t="shared" si="0"/>
        <v>44.044893414145044</v>
      </c>
      <c r="F22">
        <v>0.26787189613406853</v>
      </c>
      <c r="G22">
        <v>1.5030770047408883</v>
      </c>
      <c r="H22">
        <v>2.1311041763104588</v>
      </c>
      <c r="I22">
        <v>0.41968049421799142</v>
      </c>
      <c r="J22">
        <v>0.2</v>
      </c>
      <c r="K22">
        <v>0.64</v>
      </c>
      <c r="L22">
        <v>175.3</v>
      </c>
      <c r="M22">
        <v>1.66</v>
      </c>
      <c r="N22">
        <v>3.81</v>
      </c>
      <c r="O22">
        <v>2.6339999999999999</v>
      </c>
    </row>
    <row r="23" spans="1:15" x14ac:dyDescent="0.25">
      <c r="A23" t="s">
        <v>21</v>
      </c>
      <c r="B23" t="s">
        <v>6</v>
      </c>
      <c r="C23">
        <v>1</v>
      </c>
      <c r="D23">
        <v>70.833333333333343</v>
      </c>
      <c r="E23">
        <f t="shared" si="0"/>
        <v>57.312159176082048</v>
      </c>
      <c r="F23">
        <v>0.5407302195117285</v>
      </c>
      <c r="G23">
        <v>4.6236684965954238</v>
      </c>
      <c r="H23">
        <v>4.2173667405109043</v>
      </c>
      <c r="I23">
        <v>3.1347415613836009</v>
      </c>
      <c r="J23">
        <v>3.64</v>
      </c>
      <c r="K23">
        <v>3.75</v>
      </c>
      <c r="L23">
        <v>142.4</v>
      </c>
      <c r="M23">
        <v>1.59</v>
      </c>
      <c r="N23">
        <v>3.66</v>
      </c>
      <c r="O23">
        <v>7.4610000000000003</v>
      </c>
    </row>
    <row r="24" spans="1:15" x14ac:dyDescent="0.25">
      <c r="A24" t="s">
        <v>21</v>
      </c>
      <c r="B24" t="s">
        <v>6</v>
      </c>
      <c r="C24">
        <v>2</v>
      </c>
      <c r="D24">
        <v>60.416666666666657</v>
      </c>
      <c r="E24">
        <f t="shared" si="0"/>
        <v>51.012349590282909</v>
      </c>
      <c r="F24">
        <v>0.50324748499693073</v>
      </c>
      <c r="G24">
        <v>3.6226458480293622</v>
      </c>
      <c r="H24">
        <v>3.8103635561313038</v>
      </c>
      <c r="I24">
        <v>2.5407696462130498</v>
      </c>
      <c r="J24">
        <v>2.2000000000000002</v>
      </c>
      <c r="K24">
        <v>3.05</v>
      </c>
      <c r="L24">
        <v>128.80000000000001</v>
      </c>
      <c r="M24">
        <v>0.94</v>
      </c>
      <c r="N24">
        <v>3.93</v>
      </c>
      <c r="O24">
        <v>4.6749999999999998</v>
      </c>
    </row>
    <row r="25" spans="1:15" x14ac:dyDescent="0.25">
      <c r="A25" t="s">
        <v>21</v>
      </c>
      <c r="B25" t="s">
        <v>6</v>
      </c>
      <c r="C25">
        <v>3</v>
      </c>
      <c r="D25">
        <v>72.916666666666657</v>
      </c>
      <c r="E25">
        <f t="shared" si="0"/>
        <v>58.639806367989038</v>
      </c>
      <c r="F25">
        <v>0.4375239831736078</v>
      </c>
      <c r="G25">
        <v>3.6636554116668192</v>
      </c>
      <c r="H25">
        <v>3.7731580543006706</v>
      </c>
      <c r="I25">
        <v>2.2267675600847685</v>
      </c>
      <c r="J25">
        <v>2.16</v>
      </c>
      <c r="K25">
        <v>2.84</v>
      </c>
      <c r="L25">
        <v>137.30000000000001</v>
      </c>
      <c r="M25">
        <v>1.1200000000000001</v>
      </c>
      <c r="N25">
        <v>3.84</v>
      </c>
      <c r="O25">
        <v>6.0419999999999998</v>
      </c>
    </row>
    <row r="26" spans="1:15" x14ac:dyDescent="0.25">
      <c r="A26" t="s">
        <v>20</v>
      </c>
      <c r="B26" t="s">
        <v>7</v>
      </c>
      <c r="C26">
        <v>1</v>
      </c>
      <c r="D26">
        <v>30</v>
      </c>
      <c r="E26">
        <f t="shared" ref="E26:E49" si="1">ASIN(SQRT(D26/100))*180/PI()</f>
        <v>33.210910760899083</v>
      </c>
      <c r="F26">
        <v>0.26289315345301012</v>
      </c>
      <c r="G26">
        <v>1.5735662474074765</v>
      </c>
      <c r="H26">
        <v>2.1200884631580585</v>
      </c>
      <c r="I26">
        <v>0.29364652465919444</v>
      </c>
      <c r="J26">
        <v>0.01</v>
      </c>
      <c r="K26">
        <v>0.28999999999999998</v>
      </c>
      <c r="L26">
        <v>164.2</v>
      </c>
      <c r="M26">
        <v>0.25</v>
      </c>
      <c r="N26">
        <v>3.81</v>
      </c>
      <c r="O26">
        <v>1.887</v>
      </c>
    </row>
    <row r="27" spans="1:15" x14ac:dyDescent="0.25">
      <c r="A27" t="s">
        <v>20</v>
      </c>
      <c r="B27" t="s">
        <v>7</v>
      </c>
      <c r="C27">
        <v>2</v>
      </c>
      <c r="D27">
        <v>31.666666666666661</v>
      </c>
      <c r="E27">
        <f t="shared" si="1"/>
        <v>34.244905866556259</v>
      </c>
      <c r="F27">
        <v>0.24284839900599772</v>
      </c>
      <c r="G27">
        <v>1.6836926391200993</v>
      </c>
      <c r="H27">
        <v>2.0453275511185263</v>
      </c>
      <c r="I27">
        <v>0.33347975159492987</v>
      </c>
      <c r="J27">
        <v>0</v>
      </c>
      <c r="K27">
        <v>0.32</v>
      </c>
      <c r="L27">
        <v>182.6</v>
      </c>
      <c r="M27">
        <v>0.2</v>
      </c>
      <c r="N27">
        <v>3.62</v>
      </c>
      <c r="O27">
        <v>2.0150000000000001</v>
      </c>
    </row>
    <row r="28" spans="1:15" x14ac:dyDescent="0.25">
      <c r="A28" t="s">
        <v>20</v>
      </c>
      <c r="B28" t="s">
        <v>7</v>
      </c>
      <c r="C28">
        <v>3</v>
      </c>
      <c r="D28">
        <v>33.333333333333329</v>
      </c>
      <c r="E28">
        <f t="shared" si="1"/>
        <v>35.264389682754654</v>
      </c>
      <c r="F28">
        <v>0.24628681381934409</v>
      </c>
      <c r="G28">
        <v>2.0470572916500118</v>
      </c>
      <c r="H28">
        <v>2.0629200482709793</v>
      </c>
      <c r="I28">
        <v>0.28496891765377441</v>
      </c>
      <c r="J28">
        <v>0</v>
      </c>
      <c r="K28">
        <v>0.27</v>
      </c>
      <c r="L28">
        <v>180.9</v>
      </c>
      <c r="M28">
        <v>0.9</v>
      </c>
      <c r="N28">
        <v>3.74</v>
      </c>
      <c r="O28">
        <v>2.282</v>
      </c>
    </row>
    <row r="29" spans="1:15" x14ac:dyDescent="0.25">
      <c r="A29" t="s">
        <v>21</v>
      </c>
      <c r="B29" t="s">
        <v>7</v>
      </c>
      <c r="C29">
        <v>1</v>
      </c>
      <c r="D29">
        <v>2.7777777777777781</v>
      </c>
      <c r="E29">
        <f t="shared" si="1"/>
        <v>9.5940682268604629</v>
      </c>
      <c r="F29">
        <v>0.47517833958497446</v>
      </c>
      <c r="G29">
        <v>3.3907035099713423</v>
      </c>
      <c r="H29">
        <v>5.1870674024853125</v>
      </c>
      <c r="I29">
        <v>2.3718708020632402</v>
      </c>
      <c r="J29">
        <v>0</v>
      </c>
      <c r="K29">
        <v>0.11</v>
      </c>
      <c r="L29">
        <v>199.9</v>
      </c>
      <c r="M29">
        <v>1.32</v>
      </c>
      <c r="N29">
        <v>4</v>
      </c>
      <c r="O29">
        <v>1.9059999999999999</v>
      </c>
    </row>
    <row r="30" spans="1:15" x14ac:dyDescent="0.25">
      <c r="A30" t="s">
        <v>21</v>
      </c>
      <c r="B30" t="s">
        <v>7</v>
      </c>
      <c r="C30">
        <v>2</v>
      </c>
      <c r="D30">
        <v>10</v>
      </c>
      <c r="E30">
        <f t="shared" si="1"/>
        <v>18.434948822922014</v>
      </c>
      <c r="F30">
        <v>0.4830353778547567</v>
      </c>
      <c r="G30">
        <v>3.5230064126382761</v>
      </c>
      <c r="H30">
        <v>4.7839238782050124</v>
      </c>
      <c r="I30">
        <v>2.1554597493061176</v>
      </c>
      <c r="J30">
        <v>0</v>
      </c>
      <c r="K30">
        <v>0.22</v>
      </c>
      <c r="L30">
        <v>193.6</v>
      </c>
      <c r="M30">
        <v>0.8</v>
      </c>
      <c r="N30">
        <v>3.93</v>
      </c>
      <c r="O30">
        <v>2.6539999999999999</v>
      </c>
    </row>
    <row r="31" spans="1:15" x14ac:dyDescent="0.25">
      <c r="A31" t="s">
        <v>21</v>
      </c>
      <c r="B31" t="s">
        <v>7</v>
      </c>
      <c r="C31">
        <v>3</v>
      </c>
      <c r="D31">
        <v>6.25</v>
      </c>
      <c r="E31">
        <f t="shared" si="1"/>
        <v>14.477512185929923</v>
      </c>
      <c r="F31">
        <v>0.45641434556011751</v>
      </c>
      <c r="G31">
        <v>3.6016425646460064</v>
      </c>
      <c r="H31">
        <v>4.9376595379369901</v>
      </c>
      <c r="I31">
        <v>1.9590420700238671</v>
      </c>
      <c r="J31">
        <v>0</v>
      </c>
      <c r="K31">
        <v>0.27</v>
      </c>
      <c r="L31">
        <v>190</v>
      </c>
      <c r="M31">
        <v>0.69</v>
      </c>
      <c r="N31">
        <v>3.9</v>
      </c>
      <c r="O31">
        <v>2.456</v>
      </c>
    </row>
    <row r="32" spans="1:15" x14ac:dyDescent="0.25">
      <c r="A32" t="s">
        <v>20</v>
      </c>
      <c r="B32" t="s">
        <v>8</v>
      </c>
      <c r="C32">
        <v>1</v>
      </c>
      <c r="D32">
        <v>0</v>
      </c>
      <c r="E32">
        <f t="shared" si="1"/>
        <v>0</v>
      </c>
      <c r="F32">
        <v>0.30150039561846032</v>
      </c>
      <c r="G32">
        <v>1.6470833463905488</v>
      </c>
      <c r="H32">
        <v>2.4886849358474872</v>
      </c>
      <c r="I32">
        <v>0.32553844446252206</v>
      </c>
      <c r="J32">
        <v>0</v>
      </c>
      <c r="K32">
        <v>0.37</v>
      </c>
      <c r="L32">
        <v>228.4</v>
      </c>
      <c r="M32">
        <v>0</v>
      </c>
      <c r="N32">
        <v>3.77</v>
      </c>
      <c r="O32">
        <v>1.97</v>
      </c>
    </row>
    <row r="33" spans="1:15" x14ac:dyDescent="0.25">
      <c r="A33" t="s">
        <v>20</v>
      </c>
      <c r="B33" t="s">
        <v>8</v>
      </c>
      <c r="C33">
        <v>2</v>
      </c>
      <c r="D33">
        <v>0</v>
      </c>
      <c r="E33">
        <f t="shared" si="1"/>
        <v>0</v>
      </c>
      <c r="F33">
        <v>0.24195955127302196</v>
      </c>
      <c r="G33">
        <v>1.6544340416632823</v>
      </c>
      <c r="H33">
        <v>2.5101744308835081</v>
      </c>
      <c r="I33">
        <v>0.28531620079225994</v>
      </c>
      <c r="J33">
        <v>0</v>
      </c>
      <c r="K33">
        <v>0.41</v>
      </c>
      <c r="L33">
        <v>232.8</v>
      </c>
      <c r="M33">
        <v>0.08</v>
      </c>
      <c r="N33">
        <v>3.74</v>
      </c>
      <c r="O33">
        <v>2.5419999999999998</v>
      </c>
    </row>
    <row r="34" spans="1:15" x14ac:dyDescent="0.25">
      <c r="A34" t="s">
        <v>20</v>
      </c>
      <c r="B34" t="s">
        <v>8</v>
      </c>
      <c r="C34">
        <v>3</v>
      </c>
      <c r="D34">
        <v>0</v>
      </c>
      <c r="E34">
        <f t="shared" si="1"/>
        <v>0</v>
      </c>
      <c r="F34">
        <v>0.24648917396604464</v>
      </c>
      <c r="G34">
        <v>1.6857058698631584</v>
      </c>
      <c r="H34">
        <v>2.5785100436477255</v>
      </c>
      <c r="I34">
        <v>0.23611974348757078</v>
      </c>
      <c r="J34">
        <v>0.01</v>
      </c>
      <c r="K34">
        <v>0.36</v>
      </c>
      <c r="L34">
        <v>237.1</v>
      </c>
      <c r="M34">
        <v>0</v>
      </c>
      <c r="N34">
        <v>3.7</v>
      </c>
      <c r="O34">
        <v>2.0139999999999998</v>
      </c>
    </row>
    <row r="35" spans="1:15" x14ac:dyDescent="0.25">
      <c r="A35" t="s">
        <v>21</v>
      </c>
      <c r="B35" t="s">
        <v>8</v>
      </c>
      <c r="C35">
        <v>1</v>
      </c>
      <c r="D35">
        <v>0</v>
      </c>
      <c r="E35">
        <f t="shared" si="1"/>
        <v>0</v>
      </c>
      <c r="F35">
        <v>0.44845826181768861</v>
      </c>
      <c r="G35">
        <v>2.5716694443893733</v>
      </c>
      <c r="H35">
        <v>5.2283288544811031</v>
      </c>
      <c r="I35">
        <v>2.384441557385073</v>
      </c>
      <c r="J35">
        <v>0</v>
      </c>
      <c r="K35">
        <v>0.35</v>
      </c>
      <c r="L35">
        <v>204.6</v>
      </c>
      <c r="M35">
        <v>7.0000000000000007E-2</v>
      </c>
      <c r="N35">
        <v>3.93</v>
      </c>
      <c r="O35">
        <v>1.583</v>
      </c>
    </row>
    <row r="36" spans="1:15" x14ac:dyDescent="0.25">
      <c r="A36" t="s">
        <v>21</v>
      </c>
      <c r="B36" t="s">
        <v>8</v>
      </c>
      <c r="C36">
        <v>2</v>
      </c>
      <c r="D36">
        <v>0</v>
      </c>
      <c r="E36">
        <f t="shared" si="1"/>
        <v>0</v>
      </c>
      <c r="F36">
        <v>0.49393550288757998</v>
      </c>
      <c r="G36">
        <v>2.9101063486206145</v>
      </c>
      <c r="H36">
        <v>5.1123544961684075</v>
      </c>
      <c r="I36">
        <v>2.6682881394024545</v>
      </c>
      <c r="J36">
        <v>0</v>
      </c>
      <c r="K36">
        <v>0.34</v>
      </c>
      <c r="L36">
        <v>221.7</v>
      </c>
      <c r="M36">
        <v>0.05</v>
      </c>
      <c r="N36">
        <v>3.96</v>
      </c>
      <c r="O36">
        <v>2.004</v>
      </c>
    </row>
    <row r="37" spans="1:15" x14ac:dyDescent="0.25">
      <c r="A37" t="s">
        <v>21</v>
      </c>
      <c r="B37" t="s">
        <v>8</v>
      </c>
      <c r="C37">
        <v>3</v>
      </c>
      <c r="D37">
        <v>0</v>
      </c>
      <c r="E37">
        <f t="shared" si="1"/>
        <v>0</v>
      </c>
      <c r="F37">
        <v>0.48979437752261112</v>
      </c>
      <c r="G37">
        <v>3.0559673190158034</v>
      </c>
      <c r="H37">
        <v>4.9025054806533328</v>
      </c>
      <c r="I37">
        <v>3.1565563082285557</v>
      </c>
      <c r="J37">
        <v>0</v>
      </c>
      <c r="K37">
        <v>0.43</v>
      </c>
      <c r="L37">
        <v>203.8</v>
      </c>
      <c r="M37">
        <v>0</v>
      </c>
      <c r="N37">
        <v>4.0199999999999996</v>
      </c>
      <c r="O37">
        <v>1.915</v>
      </c>
    </row>
    <row r="38" spans="1:15" x14ac:dyDescent="0.25">
      <c r="A38" t="s">
        <v>20</v>
      </c>
      <c r="B38" t="s">
        <v>9</v>
      </c>
      <c r="C38">
        <v>1</v>
      </c>
      <c r="D38">
        <v>39.285714285714278</v>
      </c>
      <c r="E38">
        <f t="shared" si="1"/>
        <v>38.813187441905718</v>
      </c>
      <c r="F38">
        <v>0.26214775088731568</v>
      </c>
      <c r="G38">
        <v>1.667328330661134</v>
      </c>
      <c r="H38">
        <v>2.0143926634569627</v>
      </c>
      <c r="I38">
        <v>0.38869329915741374</v>
      </c>
      <c r="J38">
        <v>0.01</v>
      </c>
      <c r="K38">
        <v>0.74</v>
      </c>
      <c r="L38">
        <v>204.3</v>
      </c>
      <c r="M38">
        <v>0.7</v>
      </c>
      <c r="N38">
        <v>3.62</v>
      </c>
      <c r="O38">
        <v>1.929</v>
      </c>
    </row>
    <row r="39" spans="1:15" x14ac:dyDescent="0.25">
      <c r="A39" t="s">
        <v>20</v>
      </c>
      <c r="B39" t="s">
        <v>9</v>
      </c>
      <c r="C39">
        <v>2</v>
      </c>
      <c r="D39">
        <v>46.666666666666657</v>
      </c>
      <c r="E39">
        <f t="shared" si="1"/>
        <v>43.08872313536282</v>
      </c>
      <c r="F39">
        <v>0.26316382082222561</v>
      </c>
      <c r="G39">
        <v>1.5249101450406137</v>
      </c>
      <c r="H39">
        <v>1.8980907994365597</v>
      </c>
      <c r="I39">
        <v>0.35969590233665671</v>
      </c>
      <c r="J39">
        <v>0.05</v>
      </c>
      <c r="K39">
        <v>0.63</v>
      </c>
      <c r="L39">
        <v>157.6</v>
      </c>
      <c r="M39">
        <v>0.21</v>
      </c>
      <c r="N39">
        <v>3.71</v>
      </c>
      <c r="O39">
        <v>1.92</v>
      </c>
    </row>
    <row r="40" spans="1:15" x14ac:dyDescent="0.25">
      <c r="A40" t="s">
        <v>20</v>
      </c>
      <c r="B40" t="s">
        <v>9</v>
      </c>
      <c r="C40">
        <v>3</v>
      </c>
      <c r="D40">
        <v>33.333333333333329</v>
      </c>
      <c r="E40">
        <f t="shared" si="1"/>
        <v>35.264389682754654</v>
      </c>
      <c r="F40">
        <v>0.26332263511457288</v>
      </c>
      <c r="G40">
        <v>1.9419463543508666</v>
      </c>
      <c r="H40">
        <v>2.1233133809248321</v>
      </c>
      <c r="I40">
        <v>0.32633585424402323</v>
      </c>
      <c r="J40">
        <v>0</v>
      </c>
      <c r="K40">
        <v>0.56999999999999995</v>
      </c>
      <c r="L40">
        <v>188.2</v>
      </c>
      <c r="M40">
        <v>0</v>
      </c>
      <c r="N40">
        <v>3.5</v>
      </c>
      <c r="O40">
        <v>2.0190000000000001</v>
      </c>
    </row>
    <row r="41" spans="1:15" x14ac:dyDescent="0.25">
      <c r="A41" t="s">
        <v>21</v>
      </c>
      <c r="B41" t="s">
        <v>9</v>
      </c>
      <c r="C41">
        <v>1</v>
      </c>
      <c r="D41">
        <v>50</v>
      </c>
      <c r="E41">
        <f t="shared" si="1"/>
        <v>45.000000000000007</v>
      </c>
      <c r="F41">
        <v>9.7067978554870968E-2</v>
      </c>
      <c r="G41">
        <v>1.5814077010496721</v>
      </c>
      <c r="H41">
        <v>2.3563054219220079</v>
      </c>
      <c r="I41">
        <v>1.5472387920586488</v>
      </c>
      <c r="J41">
        <v>0</v>
      </c>
      <c r="K41">
        <v>0.65</v>
      </c>
      <c r="L41">
        <v>132.9</v>
      </c>
      <c r="M41">
        <v>0</v>
      </c>
      <c r="N41">
        <v>3.82</v>
      </c>
      <c r="O41">
        <v>1.6140000000000001</v>
      </c>
    </row>
    <row r="42" spans="1:15" x14ac:dyDescent="0.25">
      <c r="A42" t="s">
        <v>21</v>
      </c>
      <c r="B42" t="s">
        <v>9</v>
      </c>
      <c r="C42">
        <v>2</v>
      </c>
      <c r="D42">
        <v>43.18181818181818</v>
      </c>
      <c r="E42">
        <f t="shared" si="1"/>
        <v>41.081260118457855</v>
      </c>
      <c r="F42">
        <v>0.16245762882815201</v>
      </c>
      <c r="G42">
        <v>3.9690064439755925</v>
      </c>
      <c r="H42">
        <v>3.145214398891226</v>
      </c>
      <c r="I42">
        <v>1.2251359168416596</v>
      </c>
      <c r="J42">
        <v>0</v>
      </c>
      <c r="K42">
        <v>0.67</v>
      </c>
      <c r="L42">
        <v>107.9</v>
      </c>
      <c r="M42">
        <v>0</v>
      </c>
      <c r="N42">
        <v>3.73</v>
      </c>
      <c r="O42">
        <v>2.548</v>
      </c>
    </row>
    <row r="43" spans="1:15" x14ac:dyDescent="0.25">
      <c r="A43" t="s">
        <v>21</v>
      </c>
      <c r="B43" t="s">
        <v>9</v>
      </c>
      <c r="C43">
        <v>3</v>
      </c>
      <c r="D43">
        <v>47.916666666666671</v>
      </c>
      <c r="E43">
        <f t="shared" si="1"/>
        <v>43.805992268365614</v>
      </c>
      <c r="F43">
        <v>0.23859883592528636</v>
      </c>
      <c r="G43">
        <v>2.7588368899056106</v>
      </c>
      <c r="H43">
        <v>3.724223154241233</v>
      </c>
      <c r="I43">
        <v>1.2795222449111845</v>
      </c>
      <c r="J43">
        <v>0</v>
      </c>
      <c r="K43">
        <v>0.59</v>
      </c>
      <c r="L43">
        <v>173.1</v>
      </c>
      <c r="M43">
        <v>0</v>
      </c>
      <c r="N43">
        <v>4.03</v>
      </c>
      <c r="O43">
        <v>2.1859999999999999</v>
      </c>
    </row>
    <row r="44" spans="1:15" x14ac:dyDescent="0.25">
      <c r="A44" t="s">
        <v>20</v>
      </c>
      <c r="B44" t="s">
        <v>10</v>
      </c>
      <c r="C44">
        <v>1</v>
      </c>
      <c r="D44">
        <v>45</v>
      </c>
      <c r="E44">
        <f t="shared" si="1"/>
        <v>42.130414761366609</v>
      </c>
      <c r="F44">
        <v>0.2209678879538961</v>
      </c>
      <c r="G44">
        <v>1.8384646921172576</v>
      </c>
      <c r="H44">
        <v>1.7914967593253999</v>
      </c>
      <c r="I44">
        <v>0.31672669375554108</v>
      </c>
      <c r="J44">
        <v>0.22</v>
      </c>
      <c r="K44">
        <v>0.67</v>
      </c>
      <c r="L44">
        <v>156.5</v>
      </c>
      <c r="M44">
        <v>0.87</v>
      </c>
      <c r="N44">
        <v>3.69</v>
      </c>
      <c r="O44">
        <v>1.1499999999999999</v>
      </c>
    </row>
    <row r="45" spans="1:15" x14ac:dyDescent="0.25">
      <c r="A45" t="s">
        <v>20</v>
      </c>
      <c r="B45" t="s">
        <v>10</v>
      </c>
      <c r="C45">
        <v>2</v>
      </c>
      <c r="D45">
        <v>36.666666666666657</v>
      </c>
      <c r="E45">
        <f t="shared" si="1"/>
        <v>37.266995023289724</v>
      </c>
      <c r="F45">
        <v>0.21648437263607101</v>
      </c>
      <c r="G45">
        <v>1.5547369328185485</v>
      </c>
      <c r="H45">
        <v>1.6868101465933307</v>
      </c>
      <c r="I45">
        <v>0.33764714925675648</v>
      </c>
      <c r="J45">
        <v>0.04</v>
      </c>
      <c r="K45">
        <v>0.72</v>
      </c>
      <c r="L45">
        <v>156.80000000000001</v>
      </c>
      <c r="M45">
        <v>0</v>
      </c>
      <c r="N45">
        <v>3.63</v>
      </c>
      <c r="O45">
        <v>1.9179999999999999</v>
      </c>
    </row>
    <row r="46" spans="1:15" x14ac:dyDescent="0.25">
      <c r="A46" t="s">
        <v>20</v>
      </c>
      <c r="B46" t="s">
        <v>10</v>
      </c>
      <c r="C46">
        <v>3</v>
      </c>
      <c r="D46">
        <v>45</v>
      </c>
      <c r="E46">
        <f t="shared" si="1"/>
        <v>42.130414761366609</v>
      </c>
      <c r="F46">
        <v>0.2072184979019179</v>
      </c>
      <c r="G46">
        <v>1.7120492878434872</v>
      </c>
      <c r="H46">
        <v>1.5576139454750138</v>
      </c>
      <c r="I46">
        <v>0.39141194484238223</v>
      </c>
      <c r="J46">
        <v>0.02</v>
      </c>
      <c r="K46">
        <v>0.85</v>
      </c>
      <c r="L46">
        <v>142.30000000000001</v>
      </c>
      <c r="M46">
        <v>0.88</v>
      </c>
      <c r="N46">
        <v>3.44</v>
      </c>
      <c r="O46">
        <v>2.3170000000000002</v>
      </c>
    </row>
    <row r="47" spans="1:15" x14ac:dyDescent="0.25">
      <c r="A47" t="s">
        <v>21</v>
      </c>
      <c r="B47" t="s">
        <v>10</v>
      </c>
      <c r="C47">
        <v>1</v>
      </c>
      <c r="D47">
        <v>62.5</v>
      </c>
      <c r="E47">
        <f t="shared" si="1"/>
        <v>52.238756092964962</v>
      </c>
      <c r="F47">
        <v>0.3746984152654817</v>
      </c>
      <c r="G47">
        <v>2.1501939811886563</v>
      </c>
      <c r="H47">
        <v>3.0883500202474585</v>
      </c>
      <c r="I47">
        <v>1.3777676014488458</v>
      </c>
      <c r="J47">
        <v>0.47</v>
      </c>
      <c r="K47">
        <v>1.2</v>
      </c>
      <c r="L47">
        <v>105.2</v>
      </c>
      <c r="M47">
        <v>2.2799999999999998</v>
      </c>
      <c r="N47">
        <v>3.97</v>
      </c>
      <c r="O47">
        <v>2.9809999999999999</v>
      </c>
    </row>
    <row r="48" spans="1:15" x14ac:dyDescent="0.25">
      <c r="A48" t="s">
        <v>21</v>
      </c>
      <c r="B48" t="s">
        <v>10</v>
      </c>
      <c r="C48">
        <v>2</v>
      </c>
      <c r="D48">
        <v>58.333333333333343</v>
      </c>
      <c r="E48">
        <f t="shared" si="1"/>
        <v>49.797034113430229</v>
      </c>
      <c r="F48">
        <v>0.2889737048494998</v>
      </c>
      <c r="G48">
        <v>2.580960744574647</v>
      </c>
      <c r="H48">
        <v>3.269383867453461</v>
      </c>
      <c r="I48">
        <v>2.222911673907678</v>
      </c>
      <c r="J48">
        <v>0.16</v>
      </c>
      <c r="K48">
        <v>0.92</v>
      </c>
      <c r="L48">
        <v>123.9</v>
      </c>
      <c r="M48">
        <v>0</v>
      </c>
      <c r="N48">
        <v>4.07</v>
      </c>
      <c r="O48">
        <v>2.4119999999999999</v>
      </c>
    </row>
    <row r="49" spans="1:15" x14ac:dyDescent="0.25">
      <c r="A49" t="s">
        <v>21</v>
      </c>
      <c r="B49" t="s">
        <v>10</v>
      </c>
      <c r="C49">
        <v>3</v>
      </c>
      <c r="D49">
        <v>70.833333333333343</v>
      </c>
      <c r="E49">
        <f t="shared" si="1"/>
        <v>57.312159176082048</v>
      </c>
      <c r="F49">
        <v>0.33603225812061233</v>
      </c>
      <c r="G49">
        <v>3.5268790782480011</v>
      </c>
      <c r="H49">
        <v>3.3776858444963449</v>
      </c>
      <c r="I49">
        <v>2.4800726022278692</v>
      </c>
      <c r="J49">
        <v>0.89</v>
      </c>
      <c r="K49">
        <v>1.47</v>
      </c>
      <c r="L49">
        <v>126.2</v>
      </c>
      <c r="M49">
        <v>0</v>
      </c>
      <c r="N49">
        <v>3.84</v>
      </c>
      <c r="O49">
        <v>4.03</v>
      </c>
    </row>
    <row r="50" spans="1:15" x14ac:dyDescent="0.25">
      <c r="A50" t="s">
        <v>20</v>
      </c>
      <c r="B50" t="s">
        <v>11</v>
      </c>
      <c r="C50">
        <v>1</v>
      </c>
      <c r="D50">
        <v>48.214285714285722</v>
      </c>
      <c r="E50">
        <f t="shared" ref="E50:E62" si="2">ASIN(SQRT(D50/100))*180/PI()</f>
        <v>43.976643451163724</v>
      </c>
      <c r="F50">
        <v>0.30552881406627957</v>
      </c>
      <c r="G50">
        <v>2.2550592722963412</v>
      </c>
      <c r="H50">
        <v>1.7582213259872561</v>
      </c>
      <c r="I50">
        <v>0.47579578555207941</v>
      </c>
      <c r="J50">
        <v>0.86</v>
      </c>
      <c r="K50">
        <v>2.31</v>
      </c>
      <c r="L50">
        <v>114.9</v>
      </c>
      <c r="M50">
        <v>0</v>
      </c>
      <c r="N50">
        <v>3.71</v>
      </c>
      <c r="O50">
        <v>5.085</v>
      </c>
    </row>
    <row r="51" spans="1:15" x14ac:dyDescent="0.25">
      <c r="A51" t="s">
        <v>20</v>
      </c>
      <c r="B51" t="s">
        <v>11</v>
      </c>
      <c r="C51">
        <v>2</v>
      </c>
      <c r="D51">
        <v>48.333333333333343</v>
      </c>
      <c r="E51">
        <f t="shared" si="2"/>
        <v>44.044893414145044</v>
      </c>
      <c r="F51">
        <v>0.30714513371903962</v>
      </c>
      <c r="G51">
        <v>2.7565582544730818</v>
      </c>
      <c r="H51">
        <v>1.8437824588242808</v>
      </c>
      <c r="I51">
        <v>0.49854804782238815</v>
      </c>
      <c r="J51">
        <v>1.35</v>
      </c>
      <c r="K51">
        <v>2.67</v>
      </c>
      <c r="L51">
        <v>126.4</v>
      </c>
      <c r="M51">
        <v>0</v>
      </c>
      <c r="N51">
        <v>3.73</v>
      </c>
      <c r="O51">
        <v>6.0860000000000003</v>
      </c>
    </row>
    <row r="52" spans="1:15" x14ac:dyDescent="0.25">
      <c r="A52" t="s">
        <v>20</v>
      </c>
      <c r="B52" t="s">
        <v>11</v>
      </c>
      <c r="C52">
        <v>3</v>
      </c>
      <c r="D52">
        <v>46.666666666666657</v>
      </c>
      <c r="E52">
        <f t="shared" si="2"/>
        <v>43.08872313536282</v>
      </c>
      <c r="F52">
        <v>0.35081650259369201</v>
      </c>
      <c r="G52">
        <v>2.93031608800286</v>
      </c>
      <c r="H52">
        <v>1.941024984167482</v>
      </c>
      <c r="I52">
        <v>0.58668344071907308</v>
      </c>
      <c r="J52">
        <v>2.54</v>
      </c>
      <c r="K52">
        <v>3.9</v>
      </c>
      <c r="L52">
        <v>150.4</v>
      </c>
      <c r="M52">
        <v>0</v>
      </c>
      <c r="N52">
        <v>3.65</v>
      </c>
      <c r="O52">
        <v>6.4809999999999999</v>
      </c>
    </row>
    <row r="53" spans="1:15" x14ac:dyDescent="0.25">
      <c r="A53" t="s">
        <v>21</v>
      </c>
      <c r="B53" t="s">
        <v>11</v>
      </c>
      <c r="C53">
        <v>1</v>
      </c>
      <c r="D53">
        <v>54.54545454545454</v>
      </c>
      <c r="E53">
        <f t="shared" si="2"/>
        <v>47.607954285227066</v>
      </c>
      <c r="F53">
        <v>0.33827529653994698</v>
      </c>
      <c r="G53">
        <v>4.6893606963535515</v>
      </c>
      <c r="H53">
        <v>3.2278791864630199</v>
      </c>
      <c r="I53">
        <v>2.2626346049110189</v>
      </c>
      <c r="J53">
        <v>2.72</v>
      </c>
      <c r="K53">
        <v>3.1</v>
      </c>
      <c r="L53">
        <v>108</v>
      </c>
      <c r="M53">
        <v>2.42</v>
      </c>
      <c r="N53">
        <v>3.59</v>
      </c>
      <c r="O53">
        <v>6.7130000000000001</v>
      </c>
    </row>
    <row r="54" spans="1:15" x14ac:dyDescent="0.25">
      <c r="A54" t="s">
        <v>21</v>
      </c>
      <c r="B54" t="s">
        <v>11</v>
      </c>
      <c r="C54">
        <v>2</v>
      </c>
      <c r="D54">
        <v>59.090909090909093</v>
      </c>
      <c r="E54">
        <f t="shared" si="2"/>
        <v>50.237840848194956</v>
      </c>
      <c r="F54">
        <v>0.45957184692087111</v>
      </c>
      <c r="G54">
        <v>4.1970835926123229</v>
      </c>
      <c r="H54">
        <v>3.4943984241436779</v>
      </c>
      <c r="I54">
        <v>2.3369368012056246</v>
      </c>
      <c r="J54">
        <v>2.72</v>
      </c>
      <c r="K54">
        <v>2.9</v>
      </c>
      <c r="L54">
        <v>115.4</v>
      </c>
      <c r="M54">
        <v>2.41</v>
      </c>
      <c r="N54">
        <v>3.68</v>
      </c>
      <c r="O54">
        <v>5.7859999999999996</v>
      </c>
    </row>
    <row r="55" spans="1:15" x14ac:dyDescent="0.25">
      <c r="A55" t="s">
        <v>21</v>
      </c>
      <c r="B55" t="s">
        <v>11</v>
      </c>
      <c r="C55">
        <v>3</v>
      </c>
      <c r="D55">
        <v>60.416666666666657</v>
      </c>
      <c r="E55">
        <f t="shared" si="2"/>
        <v>51.012349590282909</v>
      </c>
      <c r="F55">
        <v>0.44952300064864037</v>
      </c>
      <c r="G55">
        <v>4.3977541024704676</v>
      </c>
      <c r="H55">
        <v>4.1022618191746965</v>
      </c>
      <c r="I55">
        <v>2.1198818586810098</v>
      </c>
      <c r="J55">
        <v>2.42</v>
      </c>
      <c r="K55">
        <v>3.15</v>
      </c>
      <c r="L55">
        <v>145.80000000000001</v>
      </c>
      <c r="M55">
        <v>2.8</v>
      </c>
      <c r="N55">
        <v>3.63</v>
      </c>
      <c r="O55">
        <v>6.4980000000000002</v>
      </c>
    </row>
    <row r="56" spans="1:15" x14ac:dyDescent="0.25">
      <c r="A56" t="s">
        <v>20</v>
      </c>
      <c r="B56" t="s">
        <v>12</v>
      </c>
      <c r="C56">
        <v>1</v>
      </c>
      <c r="D56">
        <v>35</v>
      </c>
      <c r="E56">
        <f t="shared" si="2"/>
        <v>36.271198438138953</v>
      </c>
      <c r="F56">
        <v>0.25994655064177136</v>
      </c>
      <c r="G56">
        <v>1.5525789844279116</v>
      </c>
      <c r="H56">
        <v>1.9752189269985769</v>
      </c>
      <c r="I56">
        <v>0.42772613534050219</v>
      </c>
      <c r="J56">
        <v>0.06</v>
      </c>
      <c r="K56">
        <v>0.63</v>
      </c>
      <c r="L56">
        <v>164.2</v>
      </c>
      <c r="M56">
        <v>0</v>
      </c>
      <c r="N56">
        <v>3.66</v>
      </c>
      <c r="O56">
        <v>2.319</v>
      </c>
    </row>
    <row r="57" spans="1:15" x14ac:dyDescent="0.25">
      <c r="A57" t="s">
        <v>20</v>
      </c>
      <c r="B57" t="s">
        <v>12</v>
      </c>
      <c r="C57">
        <v>2</v>
      </c>
      <c r="D57">
        <v>40</v>
      </c>
      <c r="E57">
        <f t="shared" si="2"/>
        <v>39.231520483592263</v>
      </c>
      <c r="F57">
        <v>0.25021362527367236</v>
      </c>
      <c r="G57">
        <v>1.5704299863586739</v>
      </c>
      <c r="H57">
        <v>1.9461498617564932</v>
      </c>
      <c r="I57">
        <v>0.39387273652323901</v>
      </c>
      <c r="J57">
        <v>0.05</v>
      </c>
      <c r="K57">
        <v>0.57999999999999996</v>
      </c>
      <c r="L57">
        <v>158.9</v>
      </c>
      <c r="M57">
        <v>0</v>
      </c>
      <c r="N57">
        <v>3.66</v>
      </c>
      <c r="O57">
        <v>2.4220000000000002</v>
      </c>
    </row>
    <row r="58" spans="1:15" x14ac:dyDescent="0.25">
      <c r="A58" t="s">
        <v>20</v>
      </c>
      <c r="B58" t="s">
        <v>12</v>
      </c>
      <c r="C58">
        <v>3</v>
      </c>
      <c r="D58">
        <v>39.285714285714278</v>
      </c>
      <c r="E58">
        <f t="shared" si="2"/>
        <v>38.813187441905718</v>
      </c>
      <c r="F58">
        <v>0.24424528170642851</v>
      </c>
      <c r="G58">
        <v>1.6570918266521961</v>
      </c>
      <c r="H58">
        <v>1.836404512653256</v>
      </c>
      <c r="I58">
        <v>0.38890345762319256</v>
      </c>
      <c r="J58">
        <v>0.05</v>
      </c>
      <c r="K58">
        <v>0.52</v>
      </c>
      <c r="L58">
        <v>151.4</v>
      </c>
      <c r="M58">
        <v>0</v>
      </c>
      <c r="N58">
        <v>3.57</v>
      </c>
      <c r="O58">
        <v>2.0670000000000002</v>
      </c>
    </row>
    <row r="59" spans="1:15" x14ac:dyDescent="0.25">
      <c r="A59" t="s">
        <v>21</v>
      </c>
      <c r="B59" t="s">
        <v>12</v>
      </c>
      <c r="C59">
        <v>1</v>
      </c>
      <c r="D59">
        <v>54.166666666666657</v>
      </c>
      <c r="E59">
        <f t="shared" si="2"/>
        <v>47.390095923599567</v>
      </c>
      <c r="F59">
        <v>0.3128052409446847</v>
      </c>
      <c r="G59">
        <v>2.1978472062782077</v>
      </c>
      <c r="H59">
        <v>3.8753387683115519</v>
      </c>
      <c r="I59">
        <v>2.2833001873792687</v>
      </c>
      <c r="J59">
        <v>0</v>
      </c>
      <c r="K59">
        <v>0.63</v>
      </c>
      <c r="L59">
        <v>149.5</v>
      </c>
      <c r="M59">
        <v>4.29</v>
      </c>
      <c r="N59">
        <v>4.0599999999999996</v>
      </c>
      <c r="O59">
        <v>2.0219999999999998</v>
      </c>
    </row>
    <row r="60" spans="1:15" x14ac:dyDescent="0.25">
      <c r="A60" t="s">
        <v>21</v>
      </c>
      <c r="B60" t="s">
        <v>12</v>
      </c>
      <c r="C60">
        <v>2</v>
      </c>
      <c r="D60">
        <v>41.666666666666671</v>
      </c>
      <c r="E60">
        <f t="shared" si="2"/>
        <v>40.202965886569778</v>
      </c>
      <c r="F60">
        <v>0.22905802462051059</v>
      </c>
      <c r="G60">
        <v>2.2912488304465692</v>
      </c>
      <c r="H60">
        <v>3.7661790890243774</v>
      </c>
      <c r="I60">
        <v>2.0687865227564468</v>
      </c>
      <c r="J60">
        <v>0</v>
      </c>
      <c r="K60">
        <v>0.64</v>
      </c>
      <c r="L60">
        <v>148.80000000000001</v>
      </c>
      <c r="M60">
        <v>4.16</v>
      </c>
      <c r="N60">
        <v>3.93</v>
      </c>
      <c r="O60">
        <v>1.903</v>
      </c>
    </row>
    <row r="61" spans="1:15" x14ac:dyDescent="0.25">
      <c r="A61" t="s">
        <v>21</v>
      </c>
      <c r="B61" t="s">
        <v>12</v>
      </c>
      <c r="C61">
        <v>3</v>
      </c>
      <c r="D61">
        <v>58.333333333333343</v>
      </c>
      <c r="E61">
        <f t="shared" si="2"/>
        <v>49.797034113430229</v>
      </c>
      <c r="F61">
        <v>0.23437403421273667</v>
      </c>
      <c r="G61">
        <v>2.1429928096846376</v>
      </c>
      <c r="H61">
        <v>3.5583004417247288</v>
      </c>
      <c r="I61">
        <v>2.0868899605248825</v>
      </c>
      <c r="J61">
        <v>0</v>
      </c>
      <c r="K61">
        <v>0.71</v>
      </c>
      <c r="L61">
        <v>139.80000000000001</v>
      </c>
      <c r="M61">
        <v>5.12</v>
      </c>
      <c r="N61">
        <v>4.18</v>
      </c>
      <c r="O61">
        <v>1.9970000000000001</v>
      </c>
    </row>
    <row r="62" spans="1:15" x14ac:dyDescent="0.25">
      <c r="A62" t="s">
        <v>20</v>
      </c>
      <c r="B62" t="s">
        <v>13</v>
      </c>
      <c r="C62">
        <v>1</v>
      </c>
      <c r="D62">
        <v>38.333333333333343</v>
      </c>
      <c r="E62">
        <f t="shared" si="2"/>
        <v>38.25330058922416</v>
      </c>
      <c r="F62">
        <v>0.21621455910713697</v>
      </c>
      <c r="G62">
        <v>1.544717772287707</v>
      </c>
      <c r="H62">
        <v>1.6736075060767603</v>
      </c>
      <c r="I62">
        <v>0.32607203829762005</v>
      </c>
      <c r="J62">
        <v>0.01</v>
      </c>
      <c r="K62">
        <v>0.77</v>
      </c>
      <c r="L62">
        <v>147.5</v>
      </c>
      <c r="M62">
        <v>0.88</v>
      </c>
      <c r="N62">
        <v>3.59</v>
      </c>
      <c r="O62">
        <v>2.234</v>
      </c>
    </row>
    <row r="63" spans="1:15" x14ac:dyDescent="0.25">
      <c r="A63" t="s">
        <v>20</v>
      </c>
      <c r="B63" t="s">
        <v>13</v>
      </c>
      <c r="C63">
        <v>2</v>
      </c>
      <c r="D63">
        <v>50</v>
      </c>
      <c r="E63">
        <f t="shared" ref="E63:E73" si="3">ASIN(SQRT(D63/100))*180/PI()</f>
        <v>45.000000000000007</v>
      </c>
      <c r="F63">
        <v>0.24429907364415901</v>
      </c>
      <c r="G63">
        <v>1.5302935347278224</v>
      </c>
      <c r="H63">
        <v>1.8083350332356734</v>
      </c>
      <c r="I63">
        <v>0.457215392400316</v>
      </c>
      <c r="J63">
        <v>0</v>
      </c>
      <c r="K63">
        <v>0.88</v>
      </c>
      <c r="L63">
        <v>160</v>
      </c>
      <c r="M63">
        <v>0.92</v>
      </c>
      <c r="N63">
        <v>3.71</v>
      </c>
      <c r="O63">
        <v>2.3740000000000001</v>
      </c>
    </row>
    <row r="64" spans="1:15" x14ac:dyDescent="0.25">
      <c r="A64" t="s">
        <v>20</v>
      </c>
      <c r="B64" t="s">
        <v>13</v>
      </c>
      <c r="C64">
        <v>3</v>
      </c>
      <c r="D64">
        <v>46.666666666666657</v>
      </c>
      <c r="E64">
        <f t="shared" si="3"/>
        <v>43.08872313536282</v>
      </c>
      <c r="F64">
        <v>0.25651155118955082</v>
      </c>
      <c r="G64">
        <v>1.6055285550107408</v>
      </c>
      <c r="H64">
        <v>1.7350270944010191</v>
      </c>
      <c r="I64">
        <v>0.40916362801561351</v>
      </c>
      <c r="J64">
        <v>0</v>
      </c>
      <c r="K64">
        <v>0.56999999999999995</v>
      </c>
      <c r="L64">
        <v>109.5</v>
      </c>
      <c r="M64">
        <v>0</v>
      </c>
      <c r="N64">
        <v>3.68</v>
      </c>
      <c r="O64">
        <v>2.347</v>
      </c>
    </row>
    <row r="65" spans="1:15" x14ac:dyDescent="0.25">
      <c r="A65" t="s">
        <v>21</v>
      </c>
      <c r="B65" t="s">
        <v>13</v>
      </c>
      <c r="C65">
        <v>1</v>
      </c>
      <c r="D65">
        <v>50</v>
      </c>
      <c r="E65">
        <f t="shared" si="3"/>
        <v>45.000000000000007</v>
      </c>
      <c r="F65">
        <v>0.21205891845738364</v>
      </c>
      <c r="G65">
        <v>2.4082137985240761</v>
      </c>
      <c r="H65">
        <v>3.5922074170138907</v>
      </c>
      <c r="I65">
        <v>2.3487190896593941</v>
      </c>
      <c r="J65">
        <v>0</v>
      </c>
      <c r="K65">
        <v>0.47</v>
      </c>
      <c r="L65">
        <v>141.9</v>
      </c>
      <c r="M65">
        <v>1.2</v>
      </c>
      <c r="N65">
        <v>4.04</v>
      </c>
      <c r="O65">
        <v>1.9079999999999999</v>
      </c>
    </row>
    <row r="66" spans="1:15" x14ac:dyDescent="0.25">
      <c r="A66" t="s">
        <v>21</v>
      </c>
      <c r="B66" t="s">
        <v>13</v>
      </c>
      <c r="C66">
        <v>2</v>
      </c>
      <c r="D66">
        <v>58.333333333333343</v>
      </c>
      <c r="E66">
        <f t="shared" si="3"/>
        <v>49.797034113430229</v>
      </c>
      <c r="F66">
        <v>0.37875159508146261</v>
      </c>
      <c r="G66">
        <v>2.7473481243336817</v>
      </c>
      <c r="H66">
        <v>3.5986956571255408</v>
      </c>
      <c r="I66">
        <v>1.77031678678335</v>
      </c>
      <c r="J66">
        <v>0</v>
      </c>
      <c r="K66">
        <v>0.8</v>
      </c>
      <c r="L66">
        <v>109.6</v>
      </c>
      <c r="M66">
        <v>2.16</v>
      </c>
      <c r="N66">
        <v>3.87</v>
      </c>
      <c r="O66">
        <v>2.5510000000000002</v>
      </c>
    </row>
    <row r="67" spans="1:15" x14ac:dyDescent="0.25">
      <c r="A67" t="s">
        <v>21</v>
      </c>
      <c r="B67" t="s">
        <v>13</v>
      </c>
      <c r="C67">
        <v>3</v>
      </c>
      <c r="D67">
        <v>50</v>
      </c>
      <c r="E67">
        <f t="shared" si="3"/>
        <v>45.000000000000007</v>
      </c>
      <c r="F67">
        <v>0.22763211135051101</v>
      </c>
      <c r="G67">
        <v>2.7767962965686914</v>
      </c>
      <c r="H67">
        <v>3.5564282185422318</v>
      </c>
      <c r="I67">
        <v>2.2295577490772365</v>
      </c>
      <c r="J67">
        <v>0</v>
      </c>
      <c r="K67">
        <v>0.6</v>
      </c>
      <c r="L67">
        <v>155.30000000000001</v>
      </c>
      <c r="M67">
        <v>2.12</v>
      </c>
      <c r="N67">
        <v>3.94</v>
      </c>
      <c r="O67">
        <v>2.3410000000000002</v>
      </c>
    </row>
    <row r="68" spans="1:15" x14ac:dyDescent="0.25">
      <c r="A68" t="s">
        <v>20</v>
      </c>
      <c r="B68" t="s">
        <v>14</v>
      </c>
      <c r="C68">
        <v>1</v>
      </c>
      <c r="D68">
        <v>18.333333333333329</v>
      </c>
      <c r="E68">
        <f t="shared" si="3"/>
        <v>25.351759880406242</v>
      </c>
      <c r="F68">
        <v>0.23778597997735845</v>
      </c>
      <c r="G68">
        <v>1.5897249606844581</v>
      </c>
      <c r="H68">
        <v>2.0765056677747387</v>
      </c>
      <c r="I68">
        <v>0.29604322546041661</v>
      </c>
      <c r="J68">
        <v>0.02</v>
      </c>
      <c r="K68">
        <v>0.43</v>
      </c>
      <c r="L68">
        <v>180.1</v>
      </c>
      <c r="M68">
        <v>0</v>
      </c>
      <c r="N68">
        <v>3.6</v>
      </c>
      <c r="O68">
        <v>1.9750000000000001</v>
      </c>
    </row>
    <row r="69" spans="1:15" x14ac:dyDescent="0.25">
      <c r="A69" t="s">
        <v>20</v>
      </c>
      <c r="B69" t="s">
        <v>14</v>
      </c>
      <c r="C69">
        <v>2</v>
      </c>
      <c r="D69">
        <v>23.333333333333329</v>
      </c>
      <c r="E69">
        <f t="shared" si="3"/>
        <v>28.884523682248943</v>
      </c>
      <c r="F69">
        <v>0.2063518500162595</v>
      </c>
      <c r="G69">
        <v>1.9526869670657592</v>
      </c>
      <c r="H69">
        <v>2.0848960012962983</v>
      </c>
      <c r="I69">
        <v>0.3347019497647073</v>
      </c>
      <c r="J69">
        <v>0.03</v>
      </c>
      <c r="K69">
        <v>0.44</v>
      </c>
      <c r="L69">
        <v>189.2</v>
      </c>
      <c r="M69">
        <v>0</v>
      </c>
      <c r="N69">
        <v>3.41</v>
      </c>
      <c r="O69">
        <v>2.0760000000000001</v>
      </c>
    </row>
    <row r="70" spans="1:15" x14ac:dyDescent="0.25">
      <c r="A70" t="s">
        <v>20</v>
      </c>
      <c r="B70" t="s">
        <v>14</v>
      </c>
      <c r="C70">
        <v>3</v>
      </c>
      <c r="D70">
        <v>21.666666666666671</v>
      </c>
      <c r="E70">
        <f t="shared" si="3"/>
        <v>27.740946079469374</v>
      </c>
      <c r="F70">
        <v>0.23236494803051566</v>
      </c>
      <c r="G70">
        <v>1.8115466756542944</v>
      </c>
      <c r="H70">
        <v>2.1831413128455095</v>
      </c>
      <c r="I70">
        <v>0.29316807879029377</v>
      </c>
      <c r="J70">
        <v>0.01</v>
      </c>
      <c r="K70">
        <v>0.52</v>
      </c>
      <c r="L70">
        <v>210.3</v>
      </c>
      <c r="M70">
        <v>0</v>
      </c>
      <c r="N70">
        <v>3.63</v>
      </c>
      <c r="O70">
        <v>1.9370000000000001</v>
      </c>
    </row>
    <row r="71" spans="1:15" x14ac:dyDescent="0.25">
      <c r="A71" t="s">
        <v>21</v>
      </c>
      <c r="B71" t="s">
        <v>14</v>
      </c>
      <c r="C71">
        <v>1</v>
      </c>
      <c r="D71">
        <v>56.25</v>
      </c>
      <c r="E71">
        <f t="shared" si="3"/>
        <v>48.590377890729144</v>
      </c>
      <c r="F71">
        <v>0.36240909209476063</v>
      </c>
      <c r="G71">
        <v>3.778277128683174</v>
      </c>
      <c r="H71">
        <v>4.2682592072597334</v>
      </c>
      <c r="I71">
        <v>2.1067998668076724</v>
      </c>
      <c r="J71">
        <v>0.65</v>
      </c>
      <c r="K71">
        <v>0.95</v>
      </c>
      <c r="L71">
        <v>171.9</v>
      </c>
      <c r="M71">
        <v>0</v>
      </c>
      <c r="N71">
        <v>3.86</v>
      </c>
      <c r="O71">
        <v>3.3119999999999998</v>
      </c>
    </row>
    <row r="72" spans="1:15" x14ac:dyDescent="0.25">
      <c r="A72" t="s">
        <v>21</v>
      </c>
      <c r="B72" t="s">
        <v>14</v>
      </c>
      <c r="C72">
        <v>2</v>
      </c>
      <c r="D72">
        <v>54.54545454545454</v>
      </c>
      <c r="E72">
        <f t="shared" si="3"/>
        <v>47.607954285227066</v>
      </c>
      <c r="F72">
        <v>0.2941437077536001</v>
      </c>
      <c r="G72">
        <v>3.8349493070935536</v>
      </c>
      <c r="H72">
        <v>3.9382924061722386</v>
      </c>
      <c r="I72">
        <v>2.2522190917275982</v>
      </c>
      <c r="J72">
        <v>0</v>
      </c>
      <c r="K72">
        <v>0.54</v>
      </c>
      <c r="L72">
        <v>153.30000000000001</v>
      </c>
      <c r="M72">
        <v>0</v>
      </c>
      <c r="N72">
        <v>3.91</v>
      </c>
      <c r="O72">
        <v>2.6829999999999998</v>
      </c>
    </row>
    <row r="73" spans="1:15" x14ac:dyDescent="0.25">
      <c r="A73" t="s">
        <v>21</v>
      </c>
      <c r="B73" t="s">
        <v>14</v>
      </c>
      <c r="C73">
        <v>3</v>
      </c>
      <c r="D73">
        <v>50</v>
      </c>
      <c r="E73">
        <f t="shared" si="3"/>
        <v>45.000000000000007</v>
      </c>
      <c r="F73">
        <v>0.3134225674681636</v>
      </c>
      <c r="G73">
        <v>3.5278050575871158</v>
      </c>
      <c r="H73">
        <v>4.541859822424958</v>
      </c>
      <c r="I73">
        <v>1.8373439229966344</v>
      </c>
      <c r="J73">
        <v>0</v>
      </c>
      <c r="K73">
        <v>0.34</v>
      </c>
      <c r="L73">
        <v>188.1</v>
      </c>
      <c r="M73">
        <v>0</v>
      </c>
      <c r="N73">
        <v>3.89</v>
      </c>
      <c r="O73">
        <v>2.5059999999999998</v>
      </c>
    </row>
    <row r="74" spans="1:15" x14ac:dyDescent="0.25">
      <c r="A74" t="s">
        <v>20</v>
      </c>
      <c r="B74" t="s">
        <v>15</v>
      </c>
      <c r="C74">
        <v>1</v>
      </c>
      <c r="D74">
        <v>0</v>
      </c>
      <c r="F74">
        <v>0.28319662150529784</v>
      </c>
      <c r="G74">
        <v>2.3923220919769435</v>
      </c>
      <c r="H74">
        <v>2.1308972183062398</v>
      </c>
      <c r="I74">
        <v>0.24106219364730505</v>
      </c>
      <c r="J74">
        <v>0.67</v>
      </c>
      <c r="K74">
        <v>0.56000000000000005</v>
      </c>
      <c r="L74">
        <v>181.1</v>
      </c>
      <c r="M74">
        <v>0.15</v>
      </c>
      <c r="N74">
        <v>3.31</v>
      </c>
      <c r="O74">
        <v>2.835</v>
      </c>
    </row>
    <row r="75" spans="1:15" x14ac:dyDescent="0.25">
      <c r="A75" t="s">
        <v>20</v>
      </c>
      <c r="B75" t="s">
        <v>15</v>
      </c>
      <c r="C75">
        <v>2</v>
      </c>
      <c r="D75">
        <v>0</v>
      </c>
      <c r="F75">
        <v>0.34696226756328591</v>
      </c>
      <c r="G75">
        <v>2.6227312773921723</v>
      </c>
      <c r="H75">
        <v>2.0867415546328907</v>
      </c>
      <c r="I75">
        <v>0.27153815215637828</v>
      </c>
      <c r="J75">
        <v>1.01</v>
      </c>
      <c r="K75">
        <v>0.64</v>
      </c>
      <c r="L75">
        <v>178.9</v>
      </c>
      <c r="M75">
        <v>0.19</v>
      </c>
      <c r="N75">
        <v>3.26</v>
      </c>
      <c r="O75">
        <v>3.3079999999999998</v>
      </c>
    </row>
    <row r="76" spans="1:15" x14ac:dyDescent="0.25">
      <c r="A76" t="s">
        <v>20</v>
      </c>
      <c r="B76" t="s">
        <v>15</v>
      </c>
      <c r="C76">
        <v>3</v>
      </c>
      <c r="D76">
        <v>0</v>
      </c>
      <c r="F76">
        <v>0.34880997793231533</v>
      </c>
      <c r="G76">
        <v>2.6000923107817635</v>
      </c>
      <c r="H76">
        <v>2.1569600585179667</v>
      </c>
      <c r="I76">
        <v>0.35796395810094767</v>
      </c>
      <c r="J76">
        <v>0.64</v>
      </c>
      <c r="K76">
        <v>0.55000000000000004</v>
      </c>
      <c r="L76">
        <v>180.4</v>
      </c>
      <c r="M76">
        <v>0.06</v>
      </c>
      <c r="N76">
        <v>3.24</v>
      </c>
      <c r="O76">
        <v>3.4289999999999998</v>
      </c>
    </row>
    <row r="77" spans="1:15" x14ac:dyDescent="0.25">
      <c r="A77" t="s">
        <v>21</v>
      </c>
      <c r="B77" t="s">
        <v>15</v>
      </c>
      <c r="C77">
        <v>1</v>
      </c>
      <c r="D77">
        <v>0</v>
      </c>
      <c r="F77">
        <v>0.4294867846044424</v>
      </c>
      <c r="G77">
        <v>2.9640764189249249</v>
      </c>
      <c r="H77">
        <v>4.8629871697858613</v>
      </c>
      <c r="I77">
        <v>1.0062402246345139</v>
      </c>
      <c r="J77">
        <v>0</v>
      </c>
      <c r="K77">
        <v>0.41</v>
      </c>
      <c r="L77">
        <v>202.2</v>
      </c>
      <c r="M77">
        <v>0.44</v>
      </c>
      <c r="N77">
        <v>3.85</v>
      </c>
      <c r="O77">
        <v>1.74</v>
      </c>
    </row>
    <row r="78" spans="1:15" x14ac:dyDescent="0.25">
      <c r="A78" t="s">
        <v>21</v>
      </c>
      <c r="B78" t="s">
        <v>15</v>
      </c>
      <c r="C78">
        <v>2</v>
      </c>
      <c r="D78">
        <v>0</v>
      </c>
      <c r="F78">
        <v>0.46688328125081519</v>
      </c>
      <c r="G78">
        <v>2.8925559962676615</v>
      </c>
      <c r="H78">
        <v>4.7676499382340776</v>
      </c>
      <c r="I78">
        <v>2.356678282618677</v>
      </c>
      <c r="J78">
        <v>0</v>
      </c>
      <c r="K78">
        <v>0.37</v>
      </c>
      <c r="L78">
        <v>203.7</v>
      </c>
      <c r="M78">
        <v>0.83</v>
      </c>
      <c r="N78">
        <v>4.07</v>
      </c>
      <c r="O78">
        <v>1.5249999999999999</v>
      </c>
    </row>
    <row r="79" spans="1:15" x14ac:dyDescent="0.25">
      <c r="A79" t="s">
        <v>21</v>
      </c>
      <c r="B79" t="s">
        <v>15</v>
      </c>
      <c r="C79">
        <v>3</v>
      </c>
      <c r="D79">
        <v>0</v>
      </c>
      <c r="F79">
        <v>0.3819244655672821</v>
      </c>
      <c r="G79">
        <v>2.9130007015721739</v>
      </c>
      <c r="H79">
        <v>4.6832633454106887</v>
      </c>
      <c r="I79">
        <v>2.3063982423024898</v>
      </c>
      <c r="J79">
        <v>0</v>
      </c>
      <c r="K79">
        <v>0.33</v>
      </c>
      <c r="L79">
        <v>190.4</v>
      </c>
      <c r="M79">
        <v>0.7</v>
      </c>
      <c r="N79">
        <v>3.81</v>
      </c>
      <c r="O79">
        <v>1.633</v>
      </c>
    </row>
    <row r="80" spans="1:15" x14ac:dyDescent="0.25">
      <c r="A80" t="s">
        <v>20</v>
      </c>
      <c r="B80" t="s">
        <v>16</v>
      </c>
      <c r="C80">
        <v>1</v>
      </c>
      <c r="D80">
        <v>0</v>
      </c>
      <c r="F80">
        <v>0.23293702101907837</v>
      </c>
      <c r="G80">
        <v>1.8374292400189045</v>
      </c>
      <c r="H80">
        <v>2.3426675295202752</v>
      </c>
      <c r="I80">
        <v>0.15233805894932487</v>
      </c>
      <c r="J80">
        <v>0</v>
      </c>
      <c r="K80">
        <v>0.3</v>
      </c>
      <c r="L80">
        <v>221.4</v>
      </c>
      <c r="M80">
        <v>0</v>
      </c>
      <c r="N80">
        <v>3.74</v>
      </c>
      <c r="O80">
        <v>2.02</v>
      </c>
    </row>
    <row r="81" spans="1:15" x14ac:dyDescent="0.25">
      <c r="A81" t="s">
        <v>20</v>
      </c>
      <c r="B81" t="s">
        <v>16</v>
      </c>
      <c r="C81">
        <v>2</v>
      </c>
      <c r="D81">
        <v>0</v>
      </c>
      <c r="F81">
        <v>0.23289945204669515</v>
      </c>
      <c r="G81">
        <v>2.1738700019377974</v>
      </c>
      <c r="H81">
        <v>2.5553936880115291</v>
      </c>
      <c r="I81">
        <v>0.27953609774055621</v>
      </c>
      <c r="J81">
        <v>0</v>
      </c>
      <c r="K81">
        <v>0.27</v>
      </c>
      <c r="L81">
        <v>222.2</v>
      </c>
      <c r="M81">
        <v>0</v>
      </c>
      <c r="N81">
        <v>3.74</v>
      </c>
      <c r="O81">
        <v>2.2759999999999998</v>
      </c>
    </row>
    <row r="82" spans="1:15" x14ac:dyDescent="0.25">
      <c r="A82" t="s">
        <v>20</v>
      </c>
      <c r="B82" t="s">
        <v>16</v>
      </c>
      <c r="C82">
        <v>3</v>
      </c>
      <c r="D82">
        <v>0</v>
      </c>
      <c r="F82">
        <v>0.21820229928232202</v>
      </c>
      <c r="G82">
        <v>2.1272917459426166</v>
      </c>
      <c r="H82">
        <v>2.4195865654904014</v>
      </c>
      <c r="I82">
        <v>0.2683678893428213</v>
      </c>
      <c r="J82">
        <v>0.02</v>
      </c>
      <c r="K82">
        <v>0.44</v>
      </c>
      <c r="L82">
        <v>220.1</v>
      </c>
      <c r="M82">
        <v>0</v>
      </c>
      <c r="N82">
        <v>3.65</v>
      </c>
      <c r="O82">
        <v>2.1379999999999999</v>
      </c>
    </row>
    <row r="83" spans="1:15" x14ac:dyDescent="0.25">
      <c r="A83" t="s">
        <v>21</v>
      </c>
      <c r="B83" t="s">
        <v>16</v>
      </c>
      <c r="C83">
        <v>1</v>
      </c>
      <c r="D83">
        <v>0</v>
      </c>
      <c r="F83">
        <v>0.40266253832282117</v>
      </c>
      <c r="G83">
        <v>2.4743043723231377</v>
      </c>
      <c r="H83">
        <v>4.4018740684475111</v>
      </c>
      <c r="I83">
        <v>2.1149826326028895</v>
      </c>
      <c r="J83">
        <v>0</v>
      </c>
      <c r="K83">
        <v>0.26</v>
      </c>
      <c r="L83">
        <v>183.5</v>
      </c>
      <c r="M83">
        <v>1.08</v>
      </c>
      <c r="N83">
        <v>4.1100000000000003</v>
      </c>
      <c r="O83">
        <v>1.647</v>
      </c>
    </row>
    <row r="84" spans="1:15" x14ac:dyDescent="0.25">
      <c r="A84" t="s">
        <v>21</v>
      </c>
      <c r="B84" t="s">
        <v>16</v>
      </c>
      <c r="C84">
        <v>2</v>
      </c>
      <c r="D84">
        <v>0</v>
      </c>
      <c r="J84">
        <v>0</v>
      </c>
      <c r="K84">
        <v>0.37</v>
      </c>
      <c r="L84">
        <v>176.5</v>
      </c>
      <c r="M84">
        <v>0.35</v>
      </c>
      <c r="N84">
        <v>4.08</v>
      </c>
      <c r="O84">
        <v>1.8080000000000001</v>
      </c>
    </row>
    <row r="85" spans="1:15" x14ac:dyDescent="0.25">
      <c r="A85" t="s">
        <v>21</v>
      </c>
      <c r="B85" t="s">
        <v>16</v>
      </c>
      <c r="C85">
        <v>3</v>
      </c>
      <c r="D85">
        <v>0</v>
      </c>
      <c r="J85">
        <v>0</v>
      </c>
      <c r="K85">
        <v>0.34</v>
      </c>
      <c r="L85">
        <v>176</v>
      </c>
      <c r="M85">
        <v>0.39</v>
      </c>
      <c r="N85">
        <v>3.99</v>
      </c>
      <c r="O85">
        <v>1.641</v>
      </c>
    </row>
    <row r="86" spans="1:15" x14ac:dyDescent="0.25">
      <c r="A86" t="s">
        <v>18</v>
      </c>
      <c r="B86" t="s">
        <v>5</v>
      </c>
      <c r="C86">
        <v>1</v>
      </c>
      <c r="D86">
        <v>55.000000000000007</v>
      </c>
      <c r="K86">
        <v>1.19</v>
      </c>
      <c r="L86">
        <f>E86*10</f>
        <v>0</v>
      </c>
      <c r="M86">
        <v>0.93</v>
      </c>
    </row>
    <row r="87" spans="1:15" x14ac:dyDescent="0.25">
      <c r="A87" t="str">
        <f>A86</f>
        <v>Trial_1</v>
      </c>
      <c r="B87" t="s">
        <v>5</v>
      </c>
      <c r="C87">
        <v>2</v>
      </c>
      <c r="D87">
        <v>50</v>
      </c>
      <c r="K87">
        <v>1.1299999999999999</v>
      </c>
      <c r="L87">
        <f t="shared" ref="L87:L150" si="4">E87*10</f>
        <v>0</v>
      </c>
      <c r="M87">
        <v>1.5</v>
      </c>
    </row>
    <row r="88" spans="1:15" x14ac:dyDescent="0.25">
      <c r="A88" t="str">
        <f t="shared" ref="A88:A129" si="5">A87</f>
        <v>Trial_1</v>
      </c>
      <c r="B88" t="s">
        <v>5</v>
      </c>
      <c r="C88">
        <v>3</v>
      </c>
      <c r="D88">
        <v>50</v>
      </c>
      <c r="K88">
        <v>0.82</v>
      </c>
      <c r="L88">
        <f t="shared" si="4"/>
        <v>0</v>
      </c>
      <c r="M88">
        <v>0.61</v>
      </c>
    </row>
    <row r="89" spans="1:15" x14ac:dyDescent="0.25">
      <c r="A89" t="str">
        <f t="shared" si="5"/>
        <v>Trial_1</v>
      </c>
      <c r="B89" t="s">
        <v>5</v>
      </c>
      <c r="C89">
        <v>4</v>
      </c>
      <c r="D89">
        <v>55.000000000000007</v>
      </c>
      <c r="K89">
        <v>2.09</v>
      </c>
      <c r="L89">
        <f t="shared" si="4"/>
        <v>0</v>
      </c>
      <c r="M89">
        <v>0.93</v>
      </c>
    </row>
    <row r="90" spans="1:15" x14ac:dyDescent="0.25">
      <c r="A90" t="str">
        <f t="shared" si="5"/>
        <v>Trial_1</v>
      </c>
      <c r="B90" t="s">
        <v>7</v>
      </c>
      <c r="C90">
        <v>1</v>
      </c>
      <c r="D90">
        <v>25</v>
      </c>
      <c r="K90">
        <v>0.38</v>
      </c>
      <c r="L90">
        <f t="shared" si="4"/>
        <v>0</v>
      </c>
      <c r="M90">
        <v>0.91</v>
      </c>
    </row>
    <row r="91" spans="1:15" x14ac:dyDescent="0.25">
      <c r="A91" t="str">
        <f t="shared" si="5"/>
        <v>Trial_1</v>
      </c>
      <c r="B91" t="s">
        <v>7</v>
      </c>
      <c r="C91">
        <v>2</v>
      </c>
      <c r="D91">
        <v>45</v>
      </c>
      <c r="K91">
        <v>1.56</v>
      </c>
      <c r="L91">
        <f t="shared" si="4"/>
        <v>0</v>
      </c>
      <c r="M91">
        <v>1.5</v>
      </c>
    </row>
    <row r="92" spans="1:15" x14ac:dyDescent="0.25">
      <c r="A92" t="str">
        <f t="shared" si="5"/>
        <v>Trial_1</v>
      </c>
      <c r="B92" t="s">
        <v>7</v>
      </c>
      <c r="C92">
        <v>3</v>
      </c>
      <c r="D92">
        <v>25</v>
      </c>
      <c r="K92">
        <v>0.31</v>
      </c>
      <c r="L92">
        <f t="shared" si="4"/>
        <v>0</v>
      </c>
      <c r="M92">
        <v>0.22</v>
      </c>
    </row>
    <row r="93" spans="1:15" x14ac:dyDescent="0.25">
      <c r="A93" t="str">
        <f t="shared" si="5"/>
        <v>Trial_1</v>
      </c>
      <c r="B93" t="s">
        <v>7</v>
      </c>
      <c r="C93">
        <v>4</v>
      </c>
      <c r="D93">
        <v>25</v>
      </c>
      <c r="K93">
        <v>0.27</v>
      </c>
      <c r="L93">
        <f t="shared" si="4"/>
        <v>0</v>
      </c>
      <c r="M93">
        <v>0.19</v>
      </c>
    </row>
    <row r="94" spans="1:15" x14ac:dyDescent="0.25">
      <c r="A94" t="str">
        <f t="shared" si="5"/>
        <v>Trial_1</v>
      </c>
      <c r="B94" t="s">
        <v>33</v>
      </c>
      <c r="C94">
        <v>1</v>
      </c>
      <c r="D94">
        <v>5</v>
      </c>
      <c r="K94">
        <v>0.09</v>
      </c>
      <c r="L94">
        <f t="shared" si="4"/>
        <v>0</v>
      </c>
      <c r="M94">
        <v>0.21</v>
      </c>
    </row>
    <row r="95" spans="1:15" x14ac:dyDescent="0.25">
      <c r="A95" t="str">
        <f t="shared" si="5"/>
        <v>Trial_1</v>
      </c>
      <c r="B95" t="s">
        <v>33</v>
      </c>
      <c r="C95">
        <v>2</v>
      </c>
      <c r="D95">
        <v>15</v>
      </c>
      <c r="K95">
        <v>0.28999999999999998</v>
      </c>
      <c r="L95">
        <f t="shared" si="4"/>
        <v>0</v>
      </c>
      <c r="M95">
        <v>0.25</v>
      </c>
    </row>
    <row r="96" spans="1:15" x14ac:dyDescent="0.25">
      <c r="A96" t="str">
        <f t="shared" si="5"/>
        <v>Trial_1</v>
      </c>
      <c r="B96" t="s">
        <v>33</v>
      </c>
      <c r="C96">
        <v>3</v>
      </c>
      <c r="D96">
        <v>10</v>
      </c>
      <c r="K96">
        <v>0.05</v>
      </c>
      <c r="L96">
        <f t="shared" si="4"/>
        <v>0</v>
      </c>
      <c r="M96">
        <v>0.25</v>
      </c>
    </row>
    <row r="97" spans="1:13" x14ac:dyDescent="0.25">
      <c r="A97" t="str">
        <f t="shared" si="5"/>
        <v>Trial_1</v>
      </c>
      <c r="B97" t="s">
        <v>33</v>
      </c>
      <c r="C97">
        <v>4</v>
      </c>
      <c r="D97">
        <v>5</v>
      </c>
      <c r="K97">
        <v>0.05</v>
      </c>
      <c r="L97">
        <f t="shared" si="4"/>
        <v>0</v>
      </c>
      <c r="M97">
        <v>0.24</v>
      </c>
    </row>
    <row r="98" spans="1:13" x14ac:dyDescent="0.25">
      <c r="A98" t="str">
        <f t="shared" si="5"/>
        <v>Trial_1</v>
      </c>
      <c r="B98" t="s">
        <v>10</v>
      </c>
      <c r="C98">
        <v>1</v>
      </c>
      <c r="D98">
        <v>0</v>
      </c>
      <c r="K98">
        <v>0.05</v>
      </c>
      <c r="L98">
        <f t="shared" si="4"/>
        <v>0</v>
      </c>
      <c r="M98">
        <v>0.42</v>
      </c>
    </row>
    <row r="99" spans="1:13" x14ac:dyDescent="0.25">
      <c r="A99" t="str">
        <f t="shared" si="5"/>
        <v>Trial_1</v>
      </c>
      <c r="B99" t="s">
        <v>10</v>
      </c>
      <c r="C99">
        <v>2</v>
      </c>
      <c r="D99">
        <v>5</v>
      </c>
      <c r="K99">
        <v>0.05</v>
      </c>
      <c r="L99">
        <f t="shared" si="4"/>
        <v>0</v>
      </c>
      <c r="M99">
        <v>0.28000000000000003</v>
      </c>
    </row>
    <row r="100" spans="1:13" x14ac:dyDescent="0.25">
      <c r="A100" t="str">
        <f t="shared" si="5"/>
        <v>Trial_1</v>
      </c>
      <c r="B100" t="s">
        <v>10</v>
      </c>
      <c r="C100">
        <v>3</v>
      </c>
      <c r="D100">
        <v>10</v>
      </c>
      <c r="K100">
        <v>0.05</v>
      </c>
      <c r="L100">
        <f t="shared" si="4"/>
        <v>0</v>
      </c>
      <c r="M100">
        <v>0.26</v>
      </c>
    </row>
    <row r="101" spans="1:13" x14ac:dyDescent="0.25">
      <c r="A101" t="str">
        <f t="shared" si="5"/>
        <v>Trial_1</v>
      </c>
      <c r="B101" t="s">
        <v>10</v>
      </c>
      <c r="C101">
        <v>4</v>
      </c>
      <c r="D101">
        <v>10</v>
      </c>
      <c r="K101">
        <v>0.05</v>
      </c>
      <c r="L101">
        <f t="shared" si="4"/>
        <v>0</v>
      </c>
      <c r="M101">
        <v>0.28000000000000003</v>
      </c>
    </row>
    <row r="102" spans="1:13" x14ac:dyDescent="0.25">
      <c r="A102" t="str">
        <f t="shared" si="5"/>
        <v>Trial_1</v>
      </c>
      <c r="B102" t="s">
        <v>14</v>
      </c>
      <c r="C102">
        <v>1</v>
      </c>
      <c r="D102">
        <v>10</v>
      </c>
      <c r="K102">
        <v>7.0000000000000007E-2</v>
      </c>
      <c r="L102">
        <f t="shared" si="4"/>
        <v>0</v>
      </c>
      <c r="M102">
        <v>0.37</v>
      </c>
    </row>
    <row r="103" spans="1:13" x14ac:dyDescent="0.25">
      <c r="A103" t="str">
        <f t="shared" si="5"/>
        <v>Trial_1</v>
      </c>
      <c r="B103" t="s">
        <v>14</v>
      </c>
      <c r="C103">
        <v>2</v>
      </c>
      <c r="D103">
        <v>15</v>
      </c>
      <c r="K103">
        <v>0.05</v>
      </c>
      <c r="L103">
        <f t="shared" si="4"/>
        <v>0</v>
      </c>
      <c r="M103">
        <v>0.42</v>
      </c>
    </row>
    <row r="104" spans="1:13" x14ac:dyDescent="0.25">
      <c r="A104" t="str">
        <f t="shared" si="5"/>
        <v>Trial_1</v>
      </c>
      <c r="B104" t="s">
        <v>14</v>
      </c>
      <c r="C104">
        <v>3</v>
      </c>
      <c r="D104">
        <v>15</v>
      </c>
      <c r="K104">
        <v>0.06</v>
      </c>
      <c r="L104">
        <f t="shared" si="4"/>
        <v>0</v>
      </c>
      <c r="M104">
        <v>0.41</v>
      </c>
    </row>
    <row r="105" spans="1:13" x14ac:dyDescent="0.25">
      <c r="A105" t="str">
        <f t="shared" si="5"/>
        <v>Trial_1</v>
      </c>
      <c r="B105" t="s">
        <v>14</v>
      </c>
      <c r="C105">
        <v>4</v>
      </c>
      <c r="D105">
        <v>5</v>
      </c>
      <c r="K105">
        <v>0.05</v>
      </c>
      <c r="L105">
        <f t="shared" si="4"/>
        <v>0</v>
      </c>
      <c r="M105">
        <v>0.44</v>
      </c>
    </row>
    <row r="106" spans="1:13" x14ac:dyDescent="0.25">
      <c r="A106" t="str">
        <f t="shared" si="5"/>
        <v>Trial_1</v>
      </c>
      <c r="B106" t="s">
        <v>9</v>
      </c>
      <c r="C106">
        <v>1</v>
      </c>
      <c r="D106">
        <v>5</v>
      </c>
      <c r="K106">
        <v>0.05</v>
      </c>
      <c r="L106">
        <f t="shared" si="4"/>
        <v>0</v>
      </c>
      <c r="M106">
        <v>0.23</v>
      </c>
    </row>
    <row r="107" spans="1:13" x14ac:dyDescent="0.25">
      <c r="A107" t="str">
        <f t="shared" si="5"/>
        <v>Trial_1</v>
      </c>
      <c r="B107" t="s">
        <v>9</v>
      </c>
      <c r="C107">
        <v>2</v>
      </c>
      <c r="D107">
        <v>5</v>
      </c>
      <c r="K107">
        <v>0.05</v>
      </c>
      <c r="L107">
        <f t="shared" si="4"/>
        <v>0</v>
      </c>
      <c r="M107">
        <v>0.22</v>
      </c>
    </row>
    <row r="108" spans="1:13" x14ac:dyDescent="0.25">
      <c r="A108" t="str">
        <f t="shared" si="5"/>
        <v>Trial_1</v>
      </c>
      <c r="B108" t="s">
        <v>9</v>
      </c>
      <c r="C108">
        <v>3</v>
      </c>
      <c r="D108">
        <v>0</v>
      </c>
      <c r="K108">
        <v>0.06</v>
      </c>
      <c r="L108">
        <f t="shared" si="4"/>
        <v>0</v>
      </c>
      <c r="M108">
        <v>0.27</v>
      </c>
    </row>
    <row r="109" spans="1:13" x14ac:dyDescent="0.25">
      <c r="A109" t="str">
        <f t="shared" si="5"/>
        <v>Trial_1</v>
      </c>
      <c r="B109" t="s">
        <v>9</v>
      </c>
      <c r="C109">
        <v>4</v>
      </c>
      <c r="D109">
        <v>0</v>
      </c>
      <c r="K109">
        <v>0.05</v>
      </c>
      <c r="L109">
        <f t="shared" si="4"/>
        <v>0</v>
      </c>
      <c r="M109">
        <v>0.26</v>
      </c>
    </row>
    <row r="110" spans="1:13" x14ac:dyDescent="0.25">
      <c r="A110" t="str">
        <f t="shared" si="5"/>
        <v>Trial_1</v>
      </c>
      <c r="B110" t="s">
        <v>13</v>
      </c>
      <c r="C110">
        <v>1</v>
      </c>
      <c r="D110">
        <v>40</v>
      </c>
      <c r="K110">
        <v>0.12</v>
      </c>
      <c r="L110">
        <f t="shared" si="4"/>
        <v>0</v>
      </c>
      <c r="M110">
        <v>0.33</v>
      </c>
    </row>
    <row r="111" spans="1:13" x14ac:dyDescent="0.25">
      <c r="A111" t="str">
        <f t="shared" si="5"/>
        <v>Trial_1</v>
      </c>
      <c r="B111" t="s">
        <v>13</v>
      </c>
      <c r="C111">
        <v>2</v>
      </c>
      <c r="D111">
        <v>30</v>
      </c>
      <c r="K111">
        <v>0.1</v>
      </c>
      <c r="L111">
        <f t="shared" si="4"/>
        <v>0</v>
      </c>
      <c r="M111">
        <v>0.41</v>
      </c>
    </row>
    <row r="112" spans="1:13" x14ac:dyDescent="0.25">
      <c r="A112" t="str">
        <f t="shared" si="5"/>
        <v>Trial_1</v>
      </c>
      <c r="B112" t="s">
        <v>13</v>
      </c>
      <c r="C112">
        <v>3</v>
      </c>
      <c r="D112">
        <v>30</v>
      </c>
      <c r="K112">
        <v>0.12</v>
      </c>
      <c r="L112">
        <f t="shared" si="4"/>
        <v>0</v>
      </c>
      <c r="M112">
        <v>0.28000000000000003</v>
      </c>
    </row>
    <row r="113" spans="1:13" x14ac:dyDescent="0.25">
      <c r="A113" t="str">
        <f t="shared" si="5"/>
        <v>Trial_1</v>
      </c>
      <c r="B113" t="s">
        <v>13</v>
      </c>
      <c r="C113">
        <v>4</v>
      </c>
      <c r="D113">
        <v>25</v>
      </c>
      <c r="K113">
        <v>0.14000000000000001</v>
      </c>
      <c r="L113">
        <f t="shared" si="4"/>
        <v>0</v>
      </c>
      <c r="M113">
        <v>0.36</v>
      </c>
    </row>
    <row r="114" spans="1:13" x14ac:dyDescent="0.25">
      <c r="A114" t="str">
        <f t="shared" si="5"/>
        <v>Trial_1</v>
      </c>
      <c r="B114" t="s">
        <v>11</v>
      </c>
      <c r="C114">
        <v>1</v>
      </c>
      <c r="D114">
        <v>50</v>
      </c>
      <c r="K114">
        <v>0.57999999999999996</v>
      </c>
      <c r="L114">
        <f t="shared" si="4"/>
        <v>0</v>
      </c>
      <c r="M114">
        <v>0.2</v>
      </c>
    </row>
    <row r="115" spans="1:13" x14ac:dyDescent="0.25">
      <c r="A115" t="str">
        <f t="shared" si="5"/>
        <v>Trial_1</v>
      </c>
      <c r="B115" t="s">
        <v>11</v>
      </c>
      <c r="C115">
        <v>2</v>
      </c>
      <c r="D115">
        <v>30</v>
      </c>
      <c r="K115">
        <v>0.49</v>
      </c>
      <c r="L115">
        <f t="shared" si="4"/>
        <v>0</v>
      </c>
      <c r="M115">
        <v>0.28000000000000003</v>
      </c>
    </row>
    <row r="116" spans="1:13" x14ac:dyDescent="0.25">
      <c r="A116" t="str">
        <f t="shared" si="5"/>
        <v>Trial_1</v>
      </c>
      <c r="B116" t="s">
        <v>11</v>
      </c>
      <c r="C116">
        <v>3</v>
      </c>
      <c r="D116">
        <v>25</v>
      </c>
      <c r="K116">
        <v>0.14000000000000001</v>
      </c>
      <c r="L116">
        <f t="shared" si="4"/>
        <v>0</v>
      </c>
      <c r="M116">
        <v>0.22</v>
      </c>
    </row>
    <row r="117" spans="1:13" x14ac:dyDescent="0.25">
      <c r="A117" t="str">
        <f t="shared" si="5"/>
        <v>Trial_1</v>
      </c>
      <c r="B117" t="s">
        <v>11</v>
      </c>
      <c r="C117">
        <v>4</v>
      </c>
      <c r="D117">
        <v>20</v>
      </c>
      <c r="K117">
        <v>0.05</v>
      </c>
      <c r="L117">
        <f t="shared" si="4"/>
        <v>0</v>
      </c>
      <c r="M117">
        <v>0.26</v>
      </c>
    </row>
    <row r="118" spans="1:13" x14ac:dyDescent="0.25">
      <c r="A118" t="str">
        <f t="shared" si="5"/>
        <v>Trial_1</v>
      </c>
      <c r="B118" t="s">
        <v>12</v>
      </c>
      <c r="C118">
        <v>1</v>
      </c>
      <c r="D118">
        <v>45</v>
      </c>
      <c r="K118">
        <v>0.61</v>
      </c>
      <c r="L118">
        <f t="shared" si="4"/>
        <v>0</v>
      </c>
      <c r="M118">
        <v>0.81</v>
      </c>
    </row>
    <row r="119" spans="1:13" x14ac:dyDescent="0.25">
      <c r="A119" t="str">
        <f t="shared" si="5"/>
        <v>Trial_1</v>
      </c>
      <c r="B119" t="s">
        <v>12</v>
      </c>
      <c r="C119">
        <v>2</v>
      </c>
      <c r="D119">
        <v>60</v>
      </c>
      <c r="K119">
        <v>0.9</v>
      </c>
      <c r="L119">
        <f t="shared" si="4"/>
        <v>0</v>
      </c>
      <c r="M119">
        <v>1.23</v>
      </c>
    </row>
    <row r="120" spans="1:13" x14ac:dyDescent="0.25">
      <c r="A120" t="str">
        <f t="shared" si="5"/>
        <v>Trial_1</v>
      </c>
      <c r="B120" t="s">
        <v>12</v>
      </c>
      <c r="C120">
        <v>3</v>
      </c>
      <c r="D120">
        <v>50</v>
      </c>
      <c r="K120">
        <v>1.51</v>
      </c>
      <c r="L120">
        <f t="shared" si="4"/>
        <v>0</v>
      </c>
      <c r="M120">
        <v>1.02</v>
      </c>
    </row>
    <row r="121" spans="1:13" x14ac:dyDescent="0.25">
      <c r="A121" t="str">
        <f t="shared" si="5"/>
        <v>Trial_1</v>
      </c>
      <c r="B121" t="s">
        <v>12</v>
      </c>
      <c r="C121">
        <v>4</v>
      </c>
      <c r="D121">
        <v>55.000000000000007</v>
      </c>
      <c r="K121">
        <v>0.89</v>
      </c>
      <c r="L121">
        <f t="shared" si="4"/>
        <v>0</v>
      </c>
      <c r="M121">
        <v>1.22</v>
      </c>
    </row>
    <row r="122" spans="1:13" x14ac:dyDescent="0.25">
      <c r="A122" t="str">
        <f t="shared" si="5"/>
        <v>Trial_1</v>
      </c>
      <c r="B122" t="s">
        <v>17</v>
      </c>
      <c r="C122">
        <v>1</v>
      </c>
      <c r="D122">
        <v>40</v>
      </c>
      <c r="K122">
        <v>0.11</v>
      </c>
      <c r="L122">
        <f t="shared" si="4"/>
        <v>0</v>
      </c>
      <c r="M122">
        <v>0.6</v>
      </c>
    </row>
    <row r="123" spans="1:13" x14ac:dyDescent="0.25">
      <c r="A123" t="str">
        <f t="shared" si="5"/>
        <v>Trial_1</v>
      </c>
      <c r="B123" t="s">
        <v>17</v>
      </c>
      <c r="C123">
        <v>2</v>
      </c>
      <c r="D123">
        <v>45</v>
      </c>
      <c r="K123">
        <v>0.08</v>
      </c>
      <c r="L123">
        <f t="shared" si="4"/>
        <v>0</v>
      </c>
      <c r="M123">
        <v>0.15</v>
      </c>
    </row>
    <row r="124" spans="1:13" x14ac:dyDescent="0.25">
      <c r="A124" t="str">
        <f t="shared" si="5"/>
        <v>Trial_1</v>
      </c>
      <c r="B124" t="s">
        <v>17</v>
      </c>
      <c r="C124">
        <v>3</v>
      </c>
      <c r="D124">
        <v>45</v>
      </c>
      <c r="K124">
        <v>0.22</v>
      </c>
      <c r="L124">
        <f t="shared" si="4"/>
        <v>0</v>
      </c>
      <c r="M124">
        <v>0.06</v>
      </c>
    </row>
    <row r="125" spans="1:13" x14ac:dyDescent="0.25">
      <c r="A125" t="str">
        <f t="shared" si="5"/>
        <v>Trial_1</v>
      </c>
      <c r="B125" t="s">
        <v>17</v>
      </c>
      <c r="C125">
        <v>4</v>
      </c>
      <c r="D125">
        <v>45</v>
      </c>
      <c r="K125">
        <v>0.08</v>
      </c>
      <c r="L125">
        <f t="shared" si="4"/>
        <v>0</v>
      </c>
      <c r="M125">
        <v>0.15</v>
      </c>
    </row>
    <row r="126" spans="1:13" x14ac:dyDescent="0.25">
      <c r="A126" t="str">
        <f t="shared" si="5"/>
        <v>Trial_1</v>
      </c>
      <c r="B126" t="s">
        <v>34</v>
      </c>
      <c r="C126">
        <v>1</v>
      </c>
      <c r="D126">
        <v>0</v>
      </c>
      <c r="K126">
        <v>0.05</v>
      </c>
      <c r="L126">
        <f t="shared" si="4"/>
        <v>0</v>
      </c>
      <c r="M126">
        <v>0.03</v>
      </c>
    </row>
    <row r="127" spans="1:13" x14ac:dyDescent="0.25">
      <c r="A127" t="str">
        <f t="shared" si="5"/>
        <v>Trial_1</v>
      </c>
      <c r="B127" t="s">
        <v>34</v>
      </c>
      <c r="C127">
        <v>2</v>
      </c>
      <c r="D127">
        <v>5</v>
      </c>
      <c r="K127">
        <v>0.05</v>
      </c>
      <c r="L127">
        <f t="shared" si="4"/>
        <v>0</v>
      </c>
      <c r="M127">
        <v>0.03</v>
      </c>
    </row>
    <row r="128" spans="1:13" x14ac:dyDescent="0.25">
      <c r="A128" t="str">
        <f t="shared" si="5"/>
        <v>Trial_1</v>
      </c>
      <c r="B128" t="s">
        <v>34</v>
      </c>
      <c r="C128">
        <v>3</v>
      </c>
      <c r="D128">
        <v>0</v>
      </c>
      <c r="K128">
        <v>0.05</v>
      </c>
      <c r="L128">
        <f t="shared" si="4"/>
        <v>0</v>
      </c>
      <c r="M128">
        <v>0.03</v>
      </c>
    </row>
    <row r="129" spans="1:13" x14ac:dyDescent="0.25">
      <c r="A129" t="str">
        <f t="shared" si="5"/>
        <v>Trial_1</v>
      </c>
      <c r="B129" t="s">
        <v>34</v>
      </c>
      <c r="C129">
        <v>4</v>
      </c>
      <c r="D129">
        <v>5</v>
      </c>
      <c r="K129">
        <v>0.05</v>
      </c>
      <c r="L129">
        <f t="shared" si="4"/>
        <v>0</v>
      </c>
      <c r="M129">
        <v>0.03</v>
      </c>
    </row>
    <row r="130" spans="1:13" x14ac:dyDescent="0.25">
      <c r="A130" t="s">
        <v>19</v>
      </c>
      <c r="B130" t="s">
        <v>5</v>
      </c>
      <c r="C130">
        <v>1</v>
      </c>
      <c r="D130">
        <v>65</v>
      </c>
      <c r="K130">
        <v>2.12</v>
      </c>
      <c r="L130">
        <f t="shared" si="4"/>
        <v>0</v>
      </c>
      <c r="M130">
        <v>1.4</v>
      </c>
    </row>
    <row r="131" spans="1:13" x14ac:dyDescent="0.25">
      <c r="A131" t="str">
        <f>A130</f>
        <v>Trial_2</v>
      </c>
      <c r="B131" t="s">
        <v>5</v>
      </c>
      <c r="C131">
        <v>2</v>
      </c>
      <c r="D131">
        <v>75</v>
      </c>
      <c r="K131">
        <v>1.81</v>
      </c>
      <c r="L131">
        <f t="shared" si="4"/>
        <v>0</v>
      </c>
      <c r="M131">
        <v>1.26</v>
      </c>
    </row>
    <row r="132" spans="1:13" x14ac:dyDescent="0.25">
      <c r="A132" t="str">
        <f t="shared" ref="A132:A173" si="6">A131</f>
        <v>Trial_2</v>
      </c>
      <c r="B132" t="s">
        <v>5</v>
      </c>
      <c r="C132">
        <v>3</v>
      </c>
      <c r="D132">
        <v>65</v>
      </c>
      <c r="K132">
        <v>2.1</v>
      </c>
      <c r="L132">
        <f t="shared" si="4"/>
        <v>0</v>
      </c>
      <c r="M132">
        <v>1.23</v>
      </c>
    </row>
    <row r="133" spans="1:13" x14ac:dyDescent="0.25">
      <c r="A133" t="str">
        <f t="shared" si="6"/>
        <v>Trial_2</v>
      </c>
      <c r="B133" t="s">
        <v>5</v>
      </c>
      <c r="C133">
        <v>4</v>
      </c>
      <c r="D133">
        <v>50</v>
      </c>
      <c r="K133">
        <v>1.35</v>
      </c>
      <c r="L133">
        <f t="shared" si="4"/>
        <v>0</v>
      </c>
      <c r="M133">
        <v>1.04</v>
      </c>
    </row>
    <row r="134" spans="1:13" x14ac:dyDescent="0.25">
      <c r="A134" t="str">
        <f t="shared" si="6"/>
        <v>Trial_2</v>
      </c>
      <c r="B134" t="s">
        <v>7</v>
      </c>
      <c r="C134">
        <v>1</v>
      </c>
      <c r="D134">
        <v>80</v>
      </c>
      <c r="K134">
        <v>1.23</v>
      </c>
      <c r="L134">
        <f t="shared" si="4"/>
        <v>0</v>
      </c>
      <c r="M134">
        <v>0.91</v>
      </c>
    </row>
    <row r="135" spans="1:13" x14ac:dyDescent="0.25">
      <c r="A135" t="str">
        <f t="shared" si="6"/>
        <v>Trial_2</v>
      </c>
      <c r="B135" t="s">
        <v>7</v>
      </c>
      <c r="C135">
        <v>2</v>
      </c>
      <c r="D135">
        <v>40</v>
      </c>
      <c r="K135">
        <v>1.29</v>
      </c>
      <c r="L135">
        <f t="shared" si="4"/>
        <v>0</v>
      </c>
      <c r="M135">
        <v>0.83</v>
      </c>
    </row>
    <row r="136" spans="1:13" x14ac:dyDescent="0.25">
      <c r="A136" t="str">
        <f t="shared" si="6"/>
        <v>Trial_2</v>
      </c>
      <c r="B136" t="s">
        <v>7</v>
      </c>
      <c r="C136">
        <v>3</v>
      </c>
      <c r="D136">
        <v>65</v>
      </c>
      <c r="K136">
        <v>2.4</v>
      </c>
      <c r="L136">
        <f t="shared" si="4"/>
        <v>0</v>
      </c>
      <c r="M136">
        <v>1.1000000000000001</v>
      </c>
    </row>
    <row r="137" spans="1:13" x14ac:dyDescent="0.25">
      <c r="A137" t="str">
        <f t="shared" si="6"/>
        <v>Trial_2</v>
      </c>
      <c r="B137" t="s">
        <v>7</v>
      </c>
      <c r="C137">
        <v>4</v>
      </c>
      <c r="D137">
        <v>75</v>
      </c>
      <c r="K137">
        <v>2.1800000000000002</v>
      </c>
      <c r="L137">
        <f t="shared" si="4"/>
        <v>0</v>
      </c>
      <c r="M137">
        <v>1.1499999999999999</v>
      </c>
    </row>
    <row r="138" spans="1:13" x14ac:dyDescent="0.25">
      <c r="A138" t="str">
        <f t="shared" si="6"/>
        <v>Trial_2</v>
      </c>
      <c r="B138" t="s">
        <v>33</v>
      </c>
      <c r="C138">
        <v>1</v>
      </c>
      <c r="D138">
        <v>45</v>
      </c>
      <c r="K138">
        <v>0.47</v>
      </c>
      <c r="L138">
        <f t="shared" si="4"/>
        <v>0</v>
      </c>
      <c r="M138">
        <v>0.46</v>
      </c>
    </row>
    <row r="139" spans="1:13" x14ac:dyDescent="0.25">
      <c r="A139" t="str">
        <f t="shared" si="6"/>
        <v>Trial_2</v>
      </c>
      <c r="B139" t="s">
        <v>33</v>
      </c>
      <c r="C139">
        <v>2</v>
      </c>
      <c r="D139">
        <v>30</v>
      </c>
      <c r="K139">
        <v>0.55000000000000004</v>
      </c>
      <c r="L139">
        <f t="shared" si="4"/>
        <v>0</v>
      </c>
      <c r="M139">
        <v>0.61</v>
      </c>
    </row>
    <row r="140" spans="1:13" x14ac:dyDescent="0.25">
      <c r="A140" t="str">
        <f t="shared" si="6"/>
        <v>Trial_2</v>
      </c>
      <c r="B140" t="s">
        <v>33</v>
      </c>
      <c r="C140">
        <v>3</v>
      </c>
      <c r="D140">
        <v>40</v>
      </c>
      <c r="K140">
        <v>0.38</v>
      </c>
      <c r="L140">
        <f t="shared" si="4"/>
        <v>0</v>
      </c>
      <c r="M140">
        <v>0.44</v>
      </c>
    </row>
    <row r="141" spans="1:13" x14ac:dyDescent="0.25">
      <c r="A141" t="str">
        <f t="shared" si="6"/>
        <v>Trial_2</v>
      </c>
      <c r="B141" t="s">
        <v>33</v>
      </c>
      <c r="C141">
        <v>4</v>
      </c>
      <c r="D141">
        <v>35</v>
      </c>
      <c r="K141">
        <v>0.34</v>
      </c>
      <c r="L141">
        <f t="shared" si="4"/>
        <v>0</v>
      </c>
      <c r="M141">
        <v>0.63</v>
      </c>
    </row>
    <row r="142" spans="1:13" x14ac:dyDescent="0.25">
      <c r="A142" t="str">
        <f t="shared" si="6"/>
        <v>Trial_2</v>
      </c>
      <c r="B142" t="s">
        <v>10</v>
      </c>
      <c r="C142">
        <v>1</v>
      </c>
      <c r="D142">
        <v>5</v>
      </c>
      <c r="K142">
        <v>0.05</v>
      </c>
      <c r="L142">
        <f t="shared" si="4"/>
        <v>0</v>
      </c>
      <c r="M142">
        <v>0.27</v>
      </c>
    </row>
    <row r="143" spans="1:13" x14ac:dyDescent="0.25">
      <c r="A143" t="str">
        <f t="shared" si="6"/>
        <v>Trial_2</v>
      </c>
      <c r="B143" t="s">
        <v>10</v>
      </c>
      <c r="C143">
        <v>2</v>
      </c>
      <c r="D143">
        <v>10</v>
      </c>
      <c r="K143">
        <v>0.05</v>
      </c>
      <c r="L143">
        <f t="shared" si="4"/>
        <v>0</v>
      </c>
      <c r="M143">
        <v>0.42</v>
      </c>
    </row>
    <row r="144" spans="1:13" x14ac:dyDescent="0.25">
      <c r="A144" t="str">
        <f t="shared" si="6"/>
        <v>Trial_2</v>
      </c>
      <c r="B144" t="s">
        <v>10</v>
      </c>
      <c r="C144">
        <v>3</v>
      </c>
      <c r="D144">
        <v>30</v>
      </c>
      <c r="K144">
        <v>0.06</v>
      </c>
      <c r="L144">
        <f t="shared" si="4"/>
        <v>0</v>
      </c>
      <c r="M144">
        <v>0.77</v>
      </c>
    </row>
    <row r="145" spans="1:13" x14ac:dyDescent="0.25">
      <c r="A145" t="str">
        <f t="shared" si="6"/>
        <v>Trial_2</v>
      </c>
      <c r="B145" t="s">
        <v>10</v>
      </c>
      <c r="C145">
        <v>4</v>
      </c>
      <c r="D145">
        <v>35</v>
      </c>
      <c r="K145">
        <v>0.05</v>
      </c>
      <c r="L145">
        <f t="shared" si="4"/>
        <v>0</v>
      </c>
      <c r="M145">
        <v>0.53</v>
      </c>
    </row>
    <row r="146" spans="1:13" x14ac:dyDescent="0.25">
      <c r="A146" t="str">
        <f t="shared" si="6"/>
        <v>Trial_2</v>
      </c>
      <c r="B146" t="s">
        <v>14</v>
      </c>
      <c r="C146">
        <v>1</v>
      </c>
      <c r="D146">
        <v>40</v>
      </c>
      <c r="K146">
        <v>0.2</v>
      </c>
      <c r="L146">
        <f t="shared" si="4"/>
        <v>0</v>
      </c>
      <c r="M146">
        <v>0.87</v>
      </c>
    </row>
    <row r="147" spans="1:13" x14ac:dyDescent="0.25">
      <c r="A147" t="str">
        <f t="shared" si="6"/>
        <v>Trial_2</v>
      </c>
      <c r="B147" t="s">
        <v>14</v>
      </c>
      <c r="C147">
        <v>2</v>
      </c>
      <c r="D147">
        <v>30</v>
      </c>
      <c r="K147">
        <v>0.24</v>
      </c>
      <c r="L147">
        <f t="shared" si="4"/>
        <v>0</v>
      </c>
      <c r="M147">
        <v>0.93</v>
      </c>
    </row>
    <row r="148" spans="1:13" x14ac:dyDescent="0.25">
      <c r="A148" t="str">
        <f t="shared" si="6"/>
        <v>Trial_2</v>
      </c>
      <c r="B148" t="s">
        <v>14</v>
      </c>
      <c r="C148">
        <v>3</v>
      </c>
      <c r="D148">
        <v>10</v>
      </c>
      <c r="K148">
        <v>0.16</v>
      </c>
      <c r="L148">
        <f t="shared" si="4"/>
        <v>0</v>
      </c>
      <c r="M148">
        <v>0.79</v>
      </c>
    </row>
    <row r="149" spans="1:13" x14ac:dyDescent="0.25">
      <c r="A149" t="str">
        <f t="shared" si="6"/>
        <v>Trial_2</v>
      </c>
      <c r="B149" t="s">
        <v>14</v>
      </c>
      <c r="C149">
        <v>4</v>
      </c>
      <c r="D149">
        <v>30</v>
      </c>
      <c r="K149">
        <v>0.22</v>
      </c>
      <c r="L149">
        <f t="shared" si="4"/>
        <v>0</v>
      </c>
      <c r="M149">
        <v>0.88</v>
      </c>
    </row>
    <row r="150" spans="1:13" x14ac:dyDescent="0.25">
      <c r="A150" t="str">
        <f t="shared" si="6"/>
        <v>Trial_2</v>
      </c>
      <c r="B150" t="s">
        <v>9</v>
      </c>
      <c r="C150">
        <v>1</v>
      </c>
      <c r="D150">
        <v>0</v>
      </c>
      <c r="K150">
        <v>0.05</v>
      </c>
      <c r="L150">
        <f t="shared" si="4"/>
        <v>0</v>
      </c>
      <c r="M150">
        <v>0.21</v>
      </c>
    </row>
    <row r="151" spans="1:13" x14ac:dyDescent="0.25">
      <c r="A151" t="str">
        <f t="shared" si="6"/>
        <v>Trial_2</v>
      </c>
      <c r="B151" t="s">
        <v>9</v>
      </c>
      <c r="C151">
        <v>2</v>
      </c>
      <c r="D151">
        <v>15</v>
      </c>
      <c r="K151">
        <v>0.08</v>
      </c>
      <c r="L151">
        <f t="shared" ref="L151:L173" si="7">E151*10</f>
        <v>0</v>
      </c>
      <c r="M151">
        <v>0.28999999999999998</v>
      </c>
    </row>
    <row r="152" spans="1:13" x14ac:dyDescent="0.25">
      <c r="A152" t="str">
        <f t="shared" si="6"/>
        <v>Trial_2</v>
      </c>
      <c r="B152" t="s">
        <v>9</v>
      </c>
      <c r="C152">
        <v>3</v>
      </c>
      <c r="D152">
        <v>15</v>
      </c>
      <c r="K152">
        <v>0.05</v>
      </c>
      <c r="L152">
        <f t="shared" si="7"/>
        <v>0</v>
      </c>
      <c r="M152">
        <v>0.31</v>
      </c>
    </row>
    <row r="153" spans="1:13" x14ac:dyDescent="0.25">
      <c r="A153" t="str">
        <f t="shared" si="6"/>
        <v>Trial_2</v>
      </c>
      <c r="B153" t="s">
        <v>9</v>
      </c>
      <c r="C153">
        <v>4</v>
      </c>
      <c r="D153">
        <v>25</v>
      </c>
      <c r="K153">
        <v>0.05</v>
      </c>
      <c r="L153">
        <f t="shared" si="7"/>
        <v>0</v>
      </c>
      <c r="M153">
        <v>0.25</v>
      </c>
    </row>
    <row r="154" spans="1:13" x14ac:dyDescent="0.25">
      <c r="A154" t="str">
        <f t="shared" si="6"/>
        <v>Trial_2</v>
      </c>
      <c r="B154" t="s">
        <v>13</v>
      </c>
      <c r="C154">
        <v>1</v>
      </c>
      <c r="D154">
        <v>35</v>
      </c>
      <c r="K154">
        <v>0.16</v>
      </c>
      <c r="L154">
        <f t="shared" si="7"/>
        <v>0</v>
      </c>
      <c r="M154">
        <v>0.54</v>
      </c>
    </row>
    <row r="155" spans="1:13" x14ac:dyDescent="0.25">
      <c r="A155" t="str">
        <f t="shared" si="6"/>
        <v>Trial_2</v>
      </c>
      <c r="B155" t="s">
        <v>13</v>
      </c>
      <c r="C155">
        <v>2</v>
      </c>
      <c r="D155">
        <v>40</v>
      </c>
      <c r="K155">
        <v>0.49</v>
      </c>
      <c r="L155">
        <f t="shared" si="7"/>
        <v>0</v>
      </c>
      <c r="M155">
        <v>0.65</v>
      </c>
    </row>
    <row r="156" spans="1:13" x14ac:dyDescent="0.25">
      <c r="A156" t="str">
        <f t="shared" si="6"/>
        <v>Trial_2</v>
      </c>
      <c r="B156" t="s">
        <v>13</v>
      </c>
      <c r="C156">
        <v>3</v>
      </c>
      <c r="D156">
        <v>10</v>
      </c>
      <c r="K156">
        <v>0.15</v>
      </c>
      <c r="L156">
        <f t="shared" si="7"/>
        <v>0</v>
      </c>
      <c r="M156">
        <v>0.45</v>
      </c>
    </row>
    <row r="157" spans="1:13" x14ac:dyDescent="0.25">
      <c r="A157" t="str">
        <f t="shared" si="6"/>
        <v>Trial_2</v>
      </c>
      <c r="B157" t="s">
        <v>13</v>
      </c>
      <c r="C157">
        <v>4</v>
      </c>
      <c r="D157">
        <v>30</v>
      </c>
      <c r="K157">
        <v>0.21</v>
      </c>
      <c r="L157">
        <f t="shared" si="7"/>
        <v>0</v>
      </c>
      <c r="M157">
        <v>0.68</v>
      </c>
    </row>
    <row r="158" spans="1:13" x14ac:dyDescent="0.25">
      <c r="A158" t="str">
        <f t="shared" si="6"/>
        <v>Trial_2</v>
      </c>
      <c r="B158" t="s">
        <v>11</v>
      </c>
      <c r="C158">
        <v>1</v>
      </c>
      <c r="D158">
        <v>50</v>
      </c>
      <c r="K158">
        <v>0.15</v>
      </c>
      <c r="L158">
        <f t="shared" si="7"/>
        <v>0</v>
      </c>
      <c r="M158">
        <v>0.15</v>
      </c>
    </row>
    <row r="159" spans="1:13" x14ac:dyDescent="0.25">
      <c r="A159" t="str">
        <f t="shared" si="6"/>
        <v>Trial_2</v>
      </c>
      <c r="B159" t="s">
        <v>11</v>
      </c>
      <c r="C159">
        <v>2</v>
      </c>
      <c r="D159">
        <v>70</v>
      </c>
      <c r="K159">
        <v>0.83</v>
      </c>
      <c r="L159">
        <f t="shared" si="7"/>
        <v>0</v>
      </c>
      <c r="M159">
        <v>0.39</v>
      </c>
    </row>
    <row r="160" spans="1:13" x14ac:dyDescent="0.25">
      <c r="A160" t="str">
        <f t="shared" si="6"/>
        <v>Trial_2</v>
      </c>
      <c r="B160" t="s">
        <v>11</v>
      </c>
      <c r="C160">
        <v>3</v>
      </c>
      <c r="D160">
        <v>45</v>
      </c>
      <c r="K160">
        <v>0.48</v>
      </c>
      <c r="L160">
        <f t="shared" si="7"/>
        <v>0</v>
      </c>
      <c r="M160">
        <v>0.44</v>
      </c>
    </row>
    <row r="161" spans="1:13" x14ac:dyDescent="0.25">
      <c r="A161" t="str">
        <f t="shared" si="6"/>
        <v>Trial_2</v>
      </c>
      <c r="B161" t="s">
        <v>11</v>
      </c>
      <c r="C161">
        <v>4</v>
      </c>
      <c r="D161">
        <v>60</v>
      </c>
      <c r="K161">
        <v>0.92</v>
      </c>
      <c r="L161">
        <f t="shared" si="7"/>
        <v>0</v>
      </c>
      <c r="M161">
        <v>0.42</v>
      </c>
    </row>
    <row r="162" spans="1:13" x14ac:dyDescent="0.25">
      <c r="A162" t="str">
        <f t="shared" si="6"/>
        <v>Trial_2</v>
      </c>
      <c r="B162" t="s">
        <v>12</v>
      </c>
      <c r="C162">
        <v>1</v>
      </c>
      <c r="D162">
        <v>75</v>
      </c>
      <c r="K162">
        <v>2.13</v>
      </c>
      <c r="L162">
        <f t="shared" si="7"/>
        <v>0</v>
      </c>
      <c r="M162">
        <v>1.03</v>
      </c>
    </row>
    <row r="163" spans="1:13" x14ac:dyDescent="0.25">
      <c r="A163" t="str">
        <f t="shared" si="6"/>
        <v>Trial_2</v>
      </c>
      <c r="B163" t="s">
        <v>12</v>
      </c>
      <c r="C163">
        <v>2</v>
      </c>
      <c r="D163">
        <v>95</v>
      </c>
      <c r="K163">
        <v>2.4</v>
      </c>
      <c r="L163">
        <f t="shared" si="7"/>
        <v>0</v>
      </c>
      <c r="M163">
        <v>1.05</v>
      </c>
    </row>
    <row r="164" spans="1:13" x14ac:dyDescent="0.25">
      <c r="A164" t="str">
        <f t="shared" si="6"/>
        <v>Trial_2</v>
      </c>
      <c r="B164" t="s">
        <v>12</v>
      </c>
      <c r="C164">
        <v>3</v>
      </c>
      <c r="D164">
        <v>65</v>
      </c>
      <c r="K164">
        <v>2.4</v>
      </c>
      <c r="L164">
        <f t="shared" si="7"/>
        <v>0</v>
      </c>
      <c r="M164">
        <v>1.04</v>
      </c>
    </row>
    <row r="165" spans="1:13" x14ac:dyDescent="0.25">
      <c r="A165" t="str">
        <f t="shared" si="6"/>
        <v>Trial_2</v>
      </c>
      <c r="B165" t="s">
        <v>12</v>
      </c>
      <c r="C165">
        <v>4</v>
      </c>
      <c r="D165">
        <v>70</v>
      </c>
      <c r="K165">
        <v>2.2599999999999998</v>
      </c>
      <c r="L165">
        <f t="shared" si="7"/>
        <v>0</v>
      </c>
      <c r="M165">
        <v>1.04</v>
      </c>
    </row>
    <row r="166" spans="1:13" x14ac:dyDescent="0.25">
      <c r="A166" t="str">
        <f t="shared" si="6"/>
        <v>Trial_2</v>
      </c>
      <c r="B166" t="s">
        <v>17</v>
      </c>
      <c r="C166">
        <v>1</v>
      </c>
      <c r="D166">
        <v>60</v>
      </c>
      <c r="K166">
        <v>0.05</v>
      </c>
      <c r="L166">
        <f t="shared" si="7"/>
        <v>0</v>
      </c>
      <c r="M166">
        <v>0.38</v>
      </c>
    </row>
    <row r="167" spans="1:13" x14ac:dyDescent="0.25">
      <c r="A167" t="str">
        <f t="shared" si="6"/>
        <v>Trial_2</v>
      </c>
      <c r="B167" t="s">
        <v>17</v>
      </c>
      <c r="C167">
        <v>2</v>
      </c>
      <c r="D167">
        <v>60</v>
      </c>
      <c r="K167">
        <v>0.33</v>
      </c>
      <c r="L167">
        <f t="shared" si="7"/>
        <v>0</v>
      </c>
      <c r="M167">
        <v>0.38</v>
      </c>
    </row>
    <row r="168" spans="1:13" x14ac:dyDescent="0.25">
      <c r="A168" t="str">
        <f t="shared" si="6"/>
        <v>Trial_2</v>
      </c>
      <c r="B168" t="s">
        <v>17</v>
      </c>
      <c r="C168">
        <v>3</v>
      </c>
      <c r="D168">
        <v>55.000000000000007</v>
      </c>
      <c r="K168">
        <v>0.18</v>
      </c>
      <c r="L168">
        <f t="shared" si="7"/>
        <v>0</v>
      </c>
      <c r="M168">
        <v>0.41</v>
      </c>
    </row>
    <row r="169" spans="1:13" x14ac:dyDescent="0.25">
      <c r="A169" t="str">
        <f t="shared" si="6"/>
        <v>Trial_2</v>
      </c>
      <c r="B169" t="s">
        <v>17</v>
      </c>
      <c r="C169">
        <v>4</v>
      </c>
      <c r="D169">
        <v>35</v>
      </c>
      <c r="K169">
        <v>0.38</v>
      </c>
      <c r="L169">
        <f t="shared" si="7"/>
        <v>0</v>
      </c>
      <c r="M169">
        <v>0.37</v>
      </c>
    </row>
    <row r="170" spans="1:13" x14ac:dyDescent="0.25">
      <c r="A170" t="str">
        <f t="shared" si="6"/>
        <v>Trial_2</v>
      </c>
      <c r="B170" t="s">
        <v>34</v>
      </c>
      <c r="C170">
        <v>1</v>
      </c>
      <c r="D170">
        <v>40</v>
      </c>
      <c r="K170">
        <v>0.14000000000000001</v>
      </c>
      <c r="L170">
        <f t="shared" si="7"/>
        <v>0</v>
      </c>
      <c r="M170">
        <v>0.2</v>
      </c>
    </row>
    <row r="171" spans="1:13" x14ac:dyDescent="0.25">
      <c r="A171" t="str">
        <f t="shared" si="6"/>
        <v>Trial_2</v>
      </c>
      <c r="B171" t="s">
        <v>34</v>
      </c>
      <c r="C171">
        <v>2</v>
      </c>
      <c r="D171">
        <v>10</v>
      </c>
      <c r="K171">
        <v>0.1</v>
      </c>
      <c r="L171">
        <f t="shared" si="7"/>
        <v>0</v>
      </c>
      <c r="M171">
        <v>0.16</v>
      </c>
    </row>
    <row r="172" spans="1:13" x14ac:dyDescent="0.25">
      <c r="A172" t="str">
        <f t="shared" si="6"/>
        <v>Trial_2</v>
      </c>
      <c r="B172" t="s">
        <v>34</v>
      </c>
      <c r="C172">
        <v>3</v>
      </c>
      <c r="D172">
        <v>5</v>
      </c>
      <c r="K172">
        <v>0.05</v>
      </c>
      <c r="L172">
        <f t="shared" si="7"/>
        <v>0</v>
      </c>
      <c r="M172">
        <v>0.05</v>
      </c>
    </row>
    <row r="173" spans="1:13" x14ac:dyDescent="0.25">
      <c r="A173" t="str">
        <f t="shared" si="6"/>
        <v>Trial_2</v>
      </c>
      <c r="B173" t="s">
        <v>34</v>
      </c>
      <c r="C173">
        <v>4</v>
      </c>
      <c r="D173">
        <v>15</v>
      </c>
      <c r="K173">
        <v>0.11</v>
      </c>
      <c r="L173">
        <f t="shared" si="7"/>
        <v>0</v>
      </c>
      <c r="M173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"/>
  <sheetViews>
    <sheetView zoomScaleNormal="100" workbookViewId="0">
      <selection activeCell="P1" sqref="A1:P1048576"/>
    </sheetView>
  </sheetViews>
  <sheetFormatPr defaultRowHeight="15" x14ac:dyDescent="0.25"/>
  <cols>
    <col min="2" max="2" width="14.5703125" bestFit="1" customWidth="1"/>
    <col min="4" max="4" width="12" bestFit="1" customWidth="1"/>
    <col min="9" max="9" width="8.85546875" style="2"/>
    <col min="10" max="10" width="11.5703125" bestFit="1" customWidth="1"/>
    <col min="11" max="11" width="15.28515625" bestFit="1" customWidth="1"/>
    <col min="16" max="16" width="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27</v>
      </c>
      <c r="G1" t="s">
        <v>28</v>
      </c>
      <c r="H1" t="s">
        <v>29</v>
      </c>
      <c r="I1" s="2" t="s">
        <v>30</v>
      </c>
      <c r="J1" t="s">
        <v>35</v>
      </c>
      <c r="K1" t="s">
        <v>61</v>
      </c>
      <c r="L1" s="20" t="s">
        <v>58</v>
      </c>
      <c r="M1" s="20" t="s">
        <v>59</v>
      </c>
      <c r="N1" s="20" t="s">
        <v>60</v>
      </c>
      <c r="O1" s="20" t="s">
        <v>73</v>
      </c>
      <c r="P1" s="20" t="s">
        <v>75</v>
      </c>
    </row>
    <row r="2" spans="1:16" x14ac:dyDescent="0.25">
      <c r="A2">
        <v>1</v>
      </c>
      <c r="B2" t="s">
        <v>4</v>
      </c>
      <c r="C2">
        <v>1</v>
      </c>
      <c r="D2" s="1">
        <v>0</v>
      </c>
      <c r="E2" s="1">
        <f t="shared" ref="E2:E33" si="0">ASIN(SQRT(D2/100))*180/PI()</f>
        <v>0</v>
      </c>
      <c r="F2">
        <v>0.05</v>
      </c>
      <c r="G2">
        <v>154</v>
      </c>
      <c r="H2">
        <v>0.03</v>
      </c>
      <c r="I2" s="2">
        <v>3.74</v>
      </c>
      <c r="J2">
        <v>35</v>
      </c>
      <c r="K2" t="s">
        <v>62</v>
      </c>
      <c r="L2" s="21">
        <v>0.05</v>
      </c>
      <c r="M2" s="21">
        <f>19.6*10</f>
        <v>196</v>
      </c>
      <c r="N2" s="21">
        <v>0.15</v>
      </c>
      <c r="O2" s="4">
        <v>4.6159999999999997</v>
      </c>
      <c r="P2">
        <v>0.69</v>
      </c>
    </row>
    <row r="3" spans="1:16" x14ac:dyDescent="0.25">
      <c r="A3">
        <v>1</v>
      </c>
      <c r="B3" t="s">
        <v>4</v>
      </c>
      <c r="C3">
        <v>2</v>
      </c>
      <c r="D3" s="1">
        <v>5</v>
      </c>
      <c r="E3" s="1">
        <f t="shared" si="0"/>
        <v>12.920966381583565</v>
      </c>
      <c r="F3">
        <v>0.05</v>
      </c>
      <c r="G3">
        <v>158</v>
      </c>
      <c r="H3">
        <v>0.03</v>
      </c>
      <c r="I3" s="2">
        <v>3.79</v>
      </c>
      <c r="J3">
        <v>35</v>
      </c>
      <c r="K3" t="s">
        <v>62</v>
      </c>
      <c r="L3" s="21">
        <v>0.05</v>
      </c>
      <c r="M3" s="21">
        <f>20.2*10</f>
        <v>202</v>
      </c>
      <c r="N3" s="21">
        <v>0.03</v>
      </c>
      <c r="O3" s="4">
        <v>4.5499999999999989</v>
      </c>
      <c r="P3">
        <v>0.56999999999999995</v>
      </c>
    </row>
    <row r="4" spans="1:16" x14ac:dyDescent="0.25">
      <c r="A4">
        <v>1</v>
      </c>
      <c r="B4" t="s">
        <v>4</v>
      </c>
      <c r="C4">
        <v>3</v>
      </c>
      <c r="D4" s="1">
        <v>0</v>
      </c>
      <c r="E4" s="1">
        <f t="shared" si="0"/>
        <v>0</v>
      </c>
      <c r="F4">
        <v>0.05</v>
      </c>
      <c r="G4">
        <v>194</v>
      </c>
      <c r="H4">
        <v>0.03</v>
      </c>
      <c r="I4" s="2">
        <v>3.78</v>
      </c>
      <c r="J4">
        <v>35</v>
      </c>
      <c r="K4" t="s">
        <v>62</v>
      </c>
      <c r="L4" s="21">
        <v>0.05</v>
      </c>
      <c r="M4" s="21">
        <f>18.8*10</f>
        <v>188</v>
      </c>
      <c r="N4" s="21">
        <v>0.04</v>
      </c>
      <c r="O4" s="4">
        <v>4.596000000000001</v>
      </c>
      <c r="P4">
        <v>0.51</v>
      </c>
    </row>
    <row r="5" spans="1:16" x14ac:dyDescent="0.25">
      <c r="A5">
        <v>1</v>
      </c>
      <c r="B5" t="s">
        <v>4</v>
      </c>
      <c r="C5">
        <v>4</v>
      </c>
      <c r="D5" s="1">
        <v>5</v>
      </c>
      <c r="E5" s="1">
        <f t="shared" si="0"/>
        <v>12.920966381583565</v>
      </c>
      <c r="F5">
        <v>0.05</v>
      </c>
      <c r="G5">
        <v>170</v>
      </c>
      <c r="H5">
        <v>0.03</v>
      </c>
      <c r="I5" s="2">
        <v>3.9</v>
      </c>
      <c r="J5">
        <v>35</v>
      </c>
      <c r="K5" t="s">
        <v>62</v>
      </c>
      <c r="L5" s="21">
        <v>0.05</v>
      </c>
      <c r="M5" s="21">
        <f>20.2*10</f>
        <v>202</v>
      </c>
      <c r="N5" s="21">
        <v>0.04</v>
      </c>
      <c r="O5" s="4">
        <v>4.4700000000000006</v>
      </c>
      <c r="P5">
        <v>0.61</v>
      </c>
    </row>
    <row r="6" spans="1:16" x14ac:dyDescent="0.25">
      <c r="A6">
        <v>1</v>
      </c>
      <c r="B6" t="s">
        <v>5</v>
      </c>
      <c r="C6">
        <v>1</v>
      </c>
      <c r="D6" s="1">
        <v>55.000000000000007</v>
      </c>
      <c r="E6" s="1">
        <f t="shared" si="0"/>
        <v>47.869585238633384</v>
      </c>
      <c r="F6">
        <v>1.19</v>
      </c>
      <c r="G6">
        <v>192</v>
      </c>
      <c r="H6">
        <v>0.93</v>
      </c>
      <c r="I6" s="2">
        <v>3.67</v>
      </c>
      <c r="J6">
        <v>30</v>
      </c>
      <c r="K6" t="s">
        <v>62</v>
      </c>
      <c r="L6" s="21">
        <v>0.05</v>
      </c>
      <c r="M6" s="21">
        <f>19.6*10</f>
        <v>196</v>
      </c>
      <c r="N6" s="21">
        <v>0.15</v>
      </c>
      <c r="O6" s="4">
        <v>4.6159999999999997</v>
      </c>
      <c r="P6">
        <v>0.69</v>
      </c>
    </row>
    <row r="7" spans="1:16" x14ac:dyDescent="0.25">
      <c r="A7">
        <v>1</v>
      </c>
      <c r="B7" t="s">
        <v>5</v>
      </c>
      <c r="C7">
        <v>2</v>
      </c>
      <c r="D7" s="1">
        <v>50</v>
      </c>
      <c r="E7" s="1">
        <f t="shared" si="0"/>
        <v>45.000000000000007</v>
      </c>
      <c r="F7">
        <v>1.1299999999999999</v>
      </c>
      <c r="G7">
        <v>194</v>
      </c>
      <c r="H7">
        <v>1.5</v>
      </c>
      <c r="I7" s="2">
        <v>3.51</v>
      </c>
      <c r="J7">
        <v>30</v>
      </c>
      <c r="K7" t="s">
        <v>62</v>
      </c>
      <c r="L7" s="21">
        <v>0.05</v>
      </c>
      <c r="M7" s="21">
        <f>20.2*10</f>
        <v>202</v>
      </c>
      <c r="N7" s="21">
        <v>0.03</v>
      </c>
      <c r="O7" s="4">
        <v>4.5499999999999989</v>
      </c>
      <c r="P7">
        <v>0.56999999999999995</v>
      </c>
    </row>
    <row r="8" spans="1:16" x14ac:dyDescent="0.25">
      <c r="A8">
        <v>1</v>
      </c>
      <c r="B8" t="s">
        <v>5</v>
      </c>
      <c r="C8">
        <v>3</v>
      </c>
      <c r="D8" s="1">
        <v>50</v>
      </c>
      <c r="E8" s="1">
        <f t="shared" si="0"/>
        <v>45.000000000000007</v>
      </c>
      <c r="F8">
        <v>0.82</v>
      </c>
      <c r="G8">
        <v>191</v>
      </c>
      <c r="H8">
        <v>0.61</v>
      </c>
      <c r="I8" s="2">
        <v>3.5</v>
      </c>
      <c r="J8">
        <v>30</v>
      </c>
      <c r="K8" t="s">
        <v>62</v>
      </c>
      <c r="L8" s="21">
        <v>0.05</v>
      </c>
      <c r="M8" s="21">
        <f>18.8*10</f>
        <v>188</v>
      </c>
      <c r="N8" s="21">
        <v>0.04</v>
      </c>
      <c r="O8" s="4">
        <v>4.596000000000001</v>
      </c>
      <c r="P8">
        <v>0.51</v>
      </c>
    </row>
    <row r="9" spans="1:16" x14ac:dyDescent="0.25">
      <c r="A9">
        <v>1</v>
      </c>
      <c r="B9" t="s">
        <v>5</v>
      </c>
      <c r="C9">
        <v>4</v>
      </c>
      <c r="D9" s="1">
        <v>55.000000000000007</v>
      </c>
      <c r="E9" s="1">
        <f t="shared" si="0"/>
        <v>47.869585238633384</v>
      </c>
      <c r="F9">
        <v>2.09</v>
      </c>
      <c r="G9">
        <v>172</v>
      </c>
      <c r="H9">
        <v>0.93</v>
      </c>
      <c r="I9" s="2">
        <v>3.44</v>
      </c>
      <c r="J9">
        <v>30</v>
      </c>
      <c r="K9" t="s">
        <v>62</v>
      </c>
      <c r="L9" s="21">
        <v>0.05</v>
      </c>
      <c r="M9" s="21">
        <f>20.2*10</f>
        <v>202</v>
      </c>
      <c r="N9" s="21">
        <v>0.04</v>
      </c>
      <c r="O9" s="4">
        <v>4.4700000000000006</v>
      </c>
      <c r="P9">
        <v>0.61</v>
      </c>
    </row>
    <row r="10" spans="1:16" x14ac:dyDescent="0.25">
      <c r="A10">
        <v>1</v>
      </c>
      <c r="B10" t="s">
        <v>17</v>
      </c>
      <c r="C10">
        <v>1</v>
      </c>
      <c r="D10" s="1">
        <v>40</v>
      </c>
      <c r="E10" s="1">
        <f t="shared" si="0"/>
        <v>39.231520483592263</v>
      </c>
      <c r="F10">
        <v>0.11</v>
      </c>
      <c r="G10">
        <v>182</v>
      </c>
      <c r="H10">
        <v>0.6</v>
      </c>
      <c r="I10" s="2">
        <v>3.62</v>
      </c>
      <c r="J10">
        <v>35</v>
      </c>
      <c r="K10" t="s">
        <v>62</v>
      </c>
      <c r="L10" s="21">
        <v>0.05</v>
      </c>
      <c r="M10" s="21">
        <f>19.6*10</f>
        <v>196</v>
      </c>
      <c r="N10" s="21">
        <v>0.15</v>
      </c>
      <c r="O10" s="4">
        <v>4.6159999999999997</v>
      </c>
      <c r="P10">
        <v>0.69</v>
      </c>
    </row>
    <row r="11" spans="1:16" x14ac:dyDescent="0.25">
      <c r="A11">
        <v>1</v>
      </c>
      <c r="B11" t="s">
        <v>17</v>
      </c>
      <c r="C11">
        <v>2</v>
      </c>
      <c r="D11" s="1">
        <v>45</v>
      </c>
      <c r="E11" s="1">
        <f t="shared" si="0"/>
        <v>42.130414761366609</v>
      </c>
      <c r="F11">
        <v>0.08</v>
      </c>
      <c r="G11">
        <v>181</v>
      </c>
      <c r="H11">
        <v>0.15</v>
      </c>
      <c r="I11" s="2">
        <v>3.87</v>
      </c>
      <c r="J11">
        <v>35</v>
      </c>
      <c r="K11" t="s">
        <v>62</v>
      </c>
      <c r="L11" s="21">
        <v>0.05</v>
      </c>
      <c r="M11" s="21">
        <f>20.2*10</f>
        <v>202</v>
      </c>
      <c r="N11" s="21">
        <v>0.03</v>
      </c>
      <c r="O11" s="4">
        <v>4.5499999999999989</v>
      </c>
      <c r="P11">
        <v>0.56999999999999995</v>
      </c>
    </row>
    <row r="12" spans="1:16" x14ac:dyDescent="0.25">
      <c r="A12">
        <v>1</v>
      </c>
      <c r="B12" t="s">
        <v>17</v>
      </c>
      <c r="C12">
        <v>3</v>
      </c>
      <c r="D12" s="1">
        <v>45</v>
      </c>
      <c r="E12" s="1">
        <f t="shared" si="0"/>
        <v>42.130414761366609</v>
      </c>
      <c r="F12">
        <v>0.22</v>
      </c>
      <c r="G12">
        <v>188</v>
      </c>
      <c r="H12">
        <v>0.06</v>
      </c>
      <c r="I12" s="2">
        <v>3.74</v>
      </c>
      <c r="J12">
        <v>35</v>
      </c>
      <c r="K12" t="s">
        <v>62</v>
      </c>
      <c r="L12" s="21">
        <v>0.05</v>
      </c>
      <c r="M12" s="21">
        <f>18.8*10</f>
        <v>188</v>
      </c>
      <c r="N12" s="21">
        <v>0.04</v>
      </c>
      <c r="O12" s="4">
        <v>4.596000000000001</v>
      </c>
      <c r="P12">
        <v>0.51</v>
      </c>
    </row>
    <row r="13" spans="1:16" x14ac:dyDescent="0.25">
      <c r="A13">
        <v>1</v>
      </c>
      <c r="B13" t="s">
        <v>17</v>
      </c>
      <c r="C13">
        <v>4</v>
      </c>
      <c r="D13" s="1">
        <v>45</v>
      </c>
      <c r="E13" s="1">
        <f t="shared" si="0"/>
        <v>42.130414761366609</v>
      </c>
      <c r="F13">
        <v>0.08</v>
      </c>
      <c r="G13">
        <v>164</v>
      </c>
      <c r="H13">
        <v>0.15</v>
      </c>
      <c r="I13" s="2">
        <v>3.85</v>
      </c>
      <c r="J13">
        <v>35</v>
      </c>
      <c r="K13" t="s">
        <v>62</v>
      </c>
      <c r="L13" s="21">
        <v>0.05</v>
      </c>
      <c r="M13" s="21">
        <f>20.2*10</f>
        <v>202</v>
      </c>
      <c r="N13" s="21">
        <v>0.04</v>
      </c>
      <c r="O13" s="4">
        <v>4.4700000000000006</v>
      </c>
      <c r="P13">
        <v>0.61</v>
      </c>
    </row>
    <row r="14" spans="1:16" x14ac:dyDescent="0.25">
      <c r="A14">
        <v>1</v>
      </c>
      <c r="B14" t="s">
        <v>6</v>
      </c>
      <c r="C14">
        <v>1</v>
      </c>
      <c r="D14" s="1">
        <v>5</v>
      </c>
      <c r="E14" s="1">
        <f t="shared" si="0"/>
        <v>12.920966381583565</v>
      </c>
      <c r="F14">
        <v>0.09</v>
      </c>
      <c r="G14">
        <v>204</v>
      </c>
      <c r="H14">
        <v>0.21</v>
      </c>
      <c r="I14" s="2">
        <v>3.97</v>
      </c>
      <c r="J14">
        <v>15</v>
      </c>
      <c r="K14" t="s">
        <v>62</v>
      </c>
      <c r="L14" s="21">
        <v>0.05</v>
      </c>
      <c r="M14" s="21">
        <f>19.6*10</f>
        <v>196</v>
      </c>
      <c r="N14" s="21">
        <v>0.15</v>
      </c>
      <c r="O14" s="4">
        <v>4.6159999999999997</v>
      </c>
      <c r="P14">
        <v>0.69</v>
      </c>
    </row>
    <row r="15" spans="1:16" x14ac:dyDescent="0.25">
      <c r="A15">
        <v>1</v>
      </c>
      <c r="B15" t="s">
        <v>6</v>
      </c>
      <c r="C15">
        <v>2</v>
      </c>
      <c r="D15" s="1">
        <v>15</v>
      </c>
      <c r="E15" s="1">
        <f t="shared" si="0"/>
        <v>22.786497999597149</v>
      </c>
      <c r="F15">
        <v>0.28999999999999998</v>
      </c>
      <c r="G15">
        <v>200</v>
      </c>
      <c r="H15">
        <v>0.25</v>
      </c>
      <c r="I15" s="2">
        <v>3.93</v>
      </c>
      <c r="J15">
        <v>15</v>
      </c>
      <c r="K15" t="s">
        <v>62</v>
      </c>
      <c r="L15" s="21">
        <v>0.05</v>
      </c>
      <c r="M15" s="21">
        <f>20.2*10</f>
        <v>202</v>
      </c>
      <c r="N15" s="21">
        <v>0.03</v>
      </c>
      <c r="O15" s="4">
        <v>4.5499999999999989</v>
      </c>
      <c r="P15">
        <v>0.56999999999999995</v>
      </c>
    </row>
    <row r="16" spans="1:16" x14ac:dyDescent="0.25">
      <c r="A16">
        <v>1</v>
      </c>
      <c r="B16" t="s">
        <v>6</v>
      </c>
      <c r="C16">
        <v>3</v>
      </c>
      <c r="D16" s="1">
        <v>10</v>
      </c>
      <c r="E16" s="1">
        <f t="shared" si="0"/>
        <v>18.434948822922014</v>
      </c>
      <c r="F16">
        <v>0.05</v>
      </c>
      <c r="G16">
        <v>200</v>
      </c>
      <c r="H16">
        <v>0.25</v>
      </c>
      <c r="I16" s="2">
        <v>4</v>
      </c>
      <c r="J16">
        <v>15</v>
      </c>
      <c r="K16" t="s">
        <v>62</v>
      </c>
      <c r="L16" s="21">
        <v>0.05</v>
      </c>
      <c r="M16" s="21">
        <f>18.8*10</f>
        <v>188</v>
      </c>
      <c r="N16" s="21">
        <v>0.04</v>
      </c>
      <c r="O16" s="4">
        <v>4.596000000000001</v>
      </c>
      <c r="P16">
        <v>0.51</v>
      </c>
    </row>
    <row r="17" spans="1:16" x14ac:dyDescent="0.25">
      <c r="A17">
        <v>1</v>
      </c>
      <c r="B17" t="s">
        <v>6</v>
      </c>
      <c r="C17">
        <v>4</v>
      </c>
      <c r="D17" s="1">
        <v>5</v>
      </c>
      <c r="E17" s="1">
        <f t="shared" si="0"/>
        <v>12.920966381583565</v>
      </c>
      <c r="F17">
        <v>0.05</v>
      </c>
      <c r="G17">
        <v>194</v>
      </c>
      <c r="H17">
        <v>0.24</v>
      </c>
      <c r="I17" s="2">
        <v>3.62</v>
      </c>
      <c r="J17">
        <v>15</v>
      </c>
      <c r="K17" t="s">
        <v>62</v>
      </c>
      <c r="L17" s="21">
        <v>0.05</v>
      </c>
      <c r="M17" s="21">
        <f>20.2*10</f>
        <v>202</v>
      </c>
      <c r="N17" s="21">
        <v>0.04</v>
      </c>
      <c r="O17" s="4">
        <v>4.4700000000000006</v>
      </c>
      <c r="P17">
        <v>0.61</v>
      </c>
    </row>
    <row r="18" spans="1:16" x14ac:dyDescent="0.25">
      <c r="A18">
        <v>1</v>
      </c>
      <c r="B18" t="s">
        <v>7</v>
      </c>
      <c r="C18">
        <v>1</v>
      </c>
      <c r="D18" s="1">
        <v>25</v>
      </c>
      <c r="E18" s="1">
        <f t="shared" si="0"/>
        <v>30.000000000000004</v>
      </c>
      <c r="F18">
        <v>0.38</v>
      </c>
      <c r="G18">
        <v>161</v>
      </c>
      <c r="H18">
        <v>0.91</v>
      </c>
      <c r="I18" s="2">
        <v>3.7</v>
      </c>
      <c r="J18">
        <v>35</v>
      </c>
      <c r="K18" t="s">
        <v>62</v>
      </c>
      <c r="L18" s="21">
        <v>0.05</v>
      </c>
      <c r="M18" s="21">
        <f>19.6*10</f>
        <v>196</v>
      </c>
      <c r="N18" s="21">
        <v>0.15</v>
      </c>
      <c r="O18" s="4">
        <v>4.6159999999999997</v>
      </c>
      <c r="P18">
        <v>0.69</v>
      </c>
    </row>
    <row r="19" spans="1:16" x14ac:dyDescent="0.25">
      <c r="A19">
        <v>1</v>
      </c>
      <c r="B19" t="s">
        <v>7</v>
      </c>
      <c r="C19">
        <v>2</v>
      </c>
      <c r="D19" s="1">
        <v>45</v>
      </c>
      <c r="E19" s="1">
        <f t="shared" si="0"/>
        <v>42.130414761366609</v>
      </c>
      <c r="F19">
        <v>1.56</v>
      </c>
      <c r="G19">
        <v>152</v>
      </c>
      <c r="H19">
        <v>1.5</v>
      </c>
      <c r="I19" s="2">
        <v>3.43</v>
      </c>
      <c r="J19">
        <v>35</v>
      </c>
      <c r="K19" t="s">
        <v>62</v>
      </c>
      <c r="L19" s="21">
        <v>0.05</v>
      </c>
      <c r="M19" s="21">
        <f>20.2*10</f>
        <v>202</v>
      </c>
      <c r="N19" s="21">
        <v>0.03</v>
      </c>
      <c r="O19" s="4">
        <v>4.5499999999999989</v>
      </c>
      <c r="P19">
        <v>0.56999999999999995</v>
      </c>
    </row>
    <row r="20" spans="1:16" x14ac:dyDescent="0.25">
      <c r="A20">
        <v>1</v>
      </c>
      <c r="B20" t="s">
        <v>7</v>
      </c>
      <c r="C20">
        <v>3</v>
      </c>
      <c r="D20" s="1">
        <v>25</v>
      </c>
      <c r="E20" s="1">
        <f t="shared" si="0"/>
        <v>30.000000000000004</v>
      </c>
      <c r="F20">
        <v>0.31</v>
      </c>
      <c r="G20">
        <v>200</v>
      </c>
      <c r="H20">
        <v>0.22</v>
      </c>
      <c r="I20" s="2">
        <v>3.73</v>
      </c>
      <c r="J20">
        <v>35</v>
      </c>
      <c r="K20" t="s">
        <v>62</v>
      </c>
      <c r="L20" s="21">
        <v>0.05</v>
      </c>
      <c r="M20" s="21">
        <f>18.8*10</f>
        <v>188</v>
      </c>
      <c r="N20" s="21">
        <v>0.04</v>
      </c>
      <c r="O20" s="4">
        <v>4.596000000000001</v>
      </c>
      <c r="P20">
        <v>0.51</v>
      </c>
    </row>
    <row r="21" spans="1:16" x14ac:dyDescent="0.25">
      <c r="A21">
        <v>1</v>
      </c>
      <c r="B21" t="s">
        <v>7</v>
      </c>
      <c r="C21">
        <v>4</v>
      </c>
      <c r="D21" s="1">
        <v>25</v>
      </c>
      <c r="E21" s="1">
        <f t="shared" si="0"/>
        <v>30.000000000000004</v>
      </c>
      <c r="F21">
        <v>0.27</v>
      </c>
      <c r="G21">
        <v>202</v>
      </c>
      <c r="H21">
        <v>0.19</v>
      </c>
      <c r="I21" s="2">
        <v>3.75</v>
      </c>
      <c r="J21">
        <v>35</v>
      </c>
      <c r="K21" t="s">
        <v>62</v>
      </c>
      <c r="L21" s="21">
        <v>0.05</v>
      </c>
      <c r="M21" s="21">
        <f>20.2*10</f>
        <v>202</v>
      </c>
      <c r="N21" s="21">
        <v>0.04</v>
      </c>
      <c r="O21" s="4">
        <v>4.4700000000000006</v>
      </c>
      <c r="P21">
        <v>0.61</v>
      </c>
    </row>
    <row r="22" spans="1:16" x14ac:dyDescent="0.25">
      <c r="A22">
        <v>1</v>
      </c>
      <c r="B22" t="s">
        <v>9</v>
      </c>
      <c r="C22">
        <v>1</v>
      </c>
      <c r="D22" s="1">
        <v>5</v>
      </c>
      <c r="E22" s="1">
        <f t="shared" si="0"/>
        <v>12.920966381583565</v>
      </c>
      <c r="F22">
        <v>0.05</v>
      </c>
      <c r="G22">
        <v>172</v>
      </c>
      <c r="H22">
        <v>0.23</v>
      </c>
      <c r="I22" s="2">
        <v>3.71</v>
      </c>
      <c r="J22">
        <v>25</v>
      </c>
      <c r="K22" t="s">
        <v>62</v>
      </c>
      <c r="L22" s="21">
        <v>0.05</v>
      </c>
      <c r="M22" s="21">
        <f>19.6*10</f>
        <v>196</v>
      </c>
      <c r="N22" s="21">
        <v>0.15</v>
      </c>
      <c r="O22" s="4">
        <v>4.6159999999999997</v>
      </c>
      <c r="P22">
        <v>0.69</v>
      </c>
    </row>
    <row r="23" spans="1:16" x14ac:dyDescent="0.25">
      <c r="A23">
        <v>1</v>
      </c>
      <c r="B23" t="s">
        <v>9</v>
      </c>
      <c r="C23">
        <v>2</v>
      </c>
      <c r="D23" s="1">
        <v>5</v>
      </c>
      <c r="E23" s="1">
        <f t="shared" si="0"/>
        <v>12.920966381583565</v>
      </c>
      <c r="F23">
        <v>0.05</v>
      </c>
      <c r="G23">
        <v>188</v>
      </c>
      <c r="H23">
        <v>0.22</v>
      </c>
      <c r="I23" s="2">
        <v>3.84</v>
      </c>
      <c r="J23">
        <v>25</v>
      </c>
      <c r="K23" t="s">
        <v>62</v>
      </c>
      <c r="L23" s="21">
        <v>0.05</v>
      </c>
      <c r="M23" s="21">
        <f>20.2*10</f>
        <v>202</v>
      </c>
      <c r="N23" s="21">
        <v>0.03</v>
      </c>
      <c r="O23" s="4">
        <v>4.5499999999999989</v>
      </c>
      <c r="P23">
        <v>0.56999999999999995</v>
      </c>
    </row>
    <row r="24" spans="1:16" x14ac:dyDescent="0.25">
      <c r="A24">
        <v>1</v>
      </c>
      <c r="B24" t="s">
        <v>9</v>
      </c>
      <c r="C24">
        <v>3</v>
      </c>
      <c r="D24" s="1">
        <v>0</v>
      </c>
      <c r="E24" s="1">
        <f t="shared" si="0"/>
        <v>0</v>
      </c>
      <c r="F24">
        <v>0.06</v>
      </c>
      <c r="G24">
        <v>196</v>
      </c>
      <c r="H24">
        <v>0.27</v>
      </c>
      <c r="I24" s="2">
        <v>3.8</v>
      </c>
      <c r="J24">
        <v>25</v>
      </c>
      <c r="K24" t="s">
        <v>62</v>
      </c>
      <c r="L24" s="21">
        <v>0.05</v>
      </c>
      <c r="M24" s="21">
        <f>18.8*10</f>
        <v>188</v>
      </c>
      <c r="N24" s="21">
        <v>0.04</v>
      </c>
      <c r="O24" s="4">
        <v>4.596000000000001</v>
      </c>
      <c r="P24">
        <v>0.51</v>
      </c>
    </row>
    <row r="25" spans="1:16" x14ac:dyDescent="0.25">
      <c r="A25">
        <v>1</v>
      </c>
      <c r="B25" t="s">
        <v>9</v>
      </c>
      <c r="C25">
        <v>4</v>
      </c>
      <c r="D25" s="1">
        <v>0</v>
      </c>
      <c r="E25" s="1">
        <f t="shared" si="0"/>
        <v>0</v>
      </c>
      <c r="F25">
        <v>0.05</v>
      </c>
      <c r="G25">
        <v>174</v>
      </c>
      <c r="H25">
        <v>0.26</v>
      </c>
      <c r="I25" s="2">
        <v>3.93</v>
      </c>
      <c r="J25">
        <v>25</v>
      </c>
      <c r="K25" t="s">
        <v>62</v>
      </c>
      <c r="L25" s="21">
        <v>0.05</v>
      </c>
      <c r="M25" s="21">
        <f>20.2*10</f>
        <v>202</v>
      </c>
      <c r="N25" s="21">
        <v>0.04</v>
      </c>
      <c r="O25" s="4">
        <v>4.4700000000000006</v>
      </c>
      <c r="P25">
        <v>0.61</v>
      </c>
    </row>
    <row r="26" spans="1:16" x14ac:dyDescent="0.25">
      <c r="A26">
        <v>1</v>
      </c>
      <c r="B26" t="s">
        <v>10</v>
      </c>
      <c r="C26">
        <v>1</v>
      </c>
      <c r="D26" s="1">
        <v>0</v>
      </c>
      <c r="E26" s="1">
        <f t="shared" si="0"/>
        <v>0</v>
      </c>
      <c r="F26">
        <v>0.05</v>
      </c>
      <c r="G26">
        <v>190</v>
      </c>
      <c r="H26">
        <v>0.42</v>
      </c>
      <c r="I26" s="2">
        <v>3.81</v>
      </c>
      <c r="J26">
        <v>20</v>
      </c>
      <c r="K26" t="s">
        <v>62</v>
      </c>
      <c r="L26" s="21">
        <v>0.05</v>
      </c>
      <c r="M26" s="21">
        <f>19.6*10</f>
        <v>196</v>
      </c>
      <c r="N26" s="21">
        <v>0.15</v>
      </c>
      <c r="O26" s="4">
        <v>4.6159999999999997</v>
      </c>
      <c r="P26">
        <v>0.69</v>
      </c>
    </row>
    <row r="27" spans="1:16" x14ac:dyDescent="0.25">
      <c r="A27">
        <v>1</v>
      </c>
      <c r="B27" t="s">
        <v>10</v>
      </c>
      <c r="C27">
        <v>2</v>
      </c>
      <c r="D27" s="1">
        <v>5</v>
      </c>
      <c r="E27" s="1">
        <f t="shared" si="0"/>
        <v>12.920966381583565</v>
      </c>
      <c r="F27">
        <v>0.05</v>
      </c>
      <c r="G27">
        <v>200</v>
      </c>
      <c r="H27">
        <v>0.28000000000000003</v>
      </c>
      <c r="I27" s="2">
        <v>3.91</v>
      </c>
      <c r="J27">
        <v>20</v>
      </c>
      <c r="K27" t="s">
        <v>62</v>
      </c>
      <c r="L27" s="21">
        <v>0.05</v>
      </c>
      <c r="M27" s="21">
        <f>20.2*10</f>
        <v>202</v>
      </c>
      <c r="N27" s="21">
        <v>0.03</v>
      </c>
      <c r="O27" s="4">
        <v>4.5499999999999989</v>
      </c>
      <c r="P27">
        <v>0.56999999999999995</v>
      </c>
    </row>
    <row r="28" spans="1:16" x14ac:dyDescent="0.25">
      <c r="A28">
        <v>1</v>
      </c>
      <c r="B28" t="s">
        <v>10</v>
      </c>
      <c r="C28">
        <v>3</v>
      </c>
      <c r="D28" s="1">
        <v>10</v>
      </c>
      <c r="E28" s="1">
        <f t="shared" si="0"/>
        <v>18.434948822922014</v>
      </c>
      <c r="F28">
        <v>0.05</v>
      </c>
      <c r="G28">
        <v>198</v>
      </c>
      <c r="H28">
        <v>0.26</v>
      </c>
      <c r="I28" s="2">
        <v>3.89</v>
      </c>
      <c r="J28">
        <v>20</v>
      </c>
      <c r="K28" t="s">
        <v>62</v>
      </c>
      <c r="L28" s="21">
        <v>0.05</v>
      </c>
      <c r="M28" s="21">
        <f>18.8*10</f>
        <v>188</v>
      </c>
      <c r="N28" s="21">
        <v>0.04</v>
      </c>
      <c r="O28" s="4">
        <v>4.596000000000001</v>
      </c>
      <c r="P28">
        <v>0.51</v>
      </c>
    </row>
    <row r="29" spans="1:16" x14ac:dyDescent="0.25">
      <c r="A29">
        <v>1</v>
      </c>
      <c r="B29" t="s">
        <v>10</v>
      </c>
      <c r="C29">
        <v>4</v>
      </c>
      <c r="D29" s="1">
        <v>10</v>
      </c>
      <c r="E29" s="1">
        <f t="shared" si="0"/>
        <v>18.434948822922014</v>
      </c>
      <c r="F29">
        <v>0.05</v>
      </c>
      <c r="G29">
        <v>192</v>
      </c>
      <c r="H29">
        <v>0.28000000000000003</v>
      </c>
      <c r="I29" s="2">
        <v>4.13</v>
      </c>
      <c r="J29">
        <v>20</v>
      </c>
      <c r="K29" t="s">
        <v>62</v>
      </c>
      <c r="L29" s="21">
        <v>0.05</v>
      </c>
      <c r="M29" s="21">
        <f>20.2*10</f>
        <v>202</v>
      </c>
      <c r="N29" s="21">
        <v>0.04</v>
      </c>
      <c r="O29" s="4">
        <v>4.4700000000000006</v>
      </c>
      <c r="P29">
        <v>0.61</v>
      </c>
    </row>
    <row r="30" spans="1:16" x14ac:dyDescent="0.25">
      <c r="A30">
        <v>1</v>
      </c>
      <c r="B30" t="s">
        <v>11</v>
      </c>
      <c r="C30">
        <v>1</v>
      </c>
      <c r="D30" s="1">
        <v>50</v>
      </c>
      <c r="E30" s="1">
        <f t="shared" si="0"/>
        <v>45.000000000000007</v>
      </c>
      <c r="F30">
        <v>0.57999999999999996</v>
      </c>
      <c r="G30">
        <v>148</v>
      </c>
      <c r="H30">
        <v>0.2</v>
      </c>
      <c r="I30" s="2">
        <v>3.82</v>
      </c>
      <c r="J30">
        <v>35</v>
      </c>
      <c r="K30" t="s">
        <v>62</v>
      </c>
      <c r="L30" s="21">
        <v>0.05</v>
      </c>
      <c r="M30" s="21">
        <f>19.6*10</f>
        <v>196</v>
      </c>
      <c r="N30" s="21">
        <v>0.15</v>
      </c>
      <c r="O30" s="4">
        <v>4.6159999999999997</v>
      </c>
      <c r="P30">
        <v>0.69</v>
      </c>
    </row>
    <row r="31" spans="1:16" x14ac:dyDescent="0.25">
      <c r="A31">
        <v>1</v>
      </c>
      <c r="B31" t="s">
        <v>11</v>
      </c>
      <c r="C31">
        <v>2</v>
      </c>
      <c r="D31" s="1">
        <v>30</v>
      </c>
      <c r="E31" s="1">
        <f t="shared" si="0"/>
        <v>33.210910760899083</v>
      </c>
      <c r="F31">
        <v>0.49</v>
      </c>
      <c r="G31">
        <v>170</v>
      </c>
      <c r="H31">
        <v>0.28000000000000003</v>
      </c>
      <c r="I31" s="2">
        <v>3.33</v>
      </c>
      <c r="J31">
        <v>35</v>
      </c>
      <c r="K31" t="s">
        <v>62</v>
      </c>
      <c r="L31" s="21">
        <v>0.05</v>
      </c>
      <c r="M31" s="21">
        <f>20.2*10</f>
        <v>202</v>
      </c>
      <c r="N31" s="21">
        <v>0.03</v>
      </c>
      <c r="O31" s="4">
        <v>4.5499999999999989</v>
      </c>
      <c r="P31">
        <v>0.56999999999999995</v>
      </c>
    </row>
    <row r="32" spans="1:16" x14ac:dyDescent="0.25">
      <c r="A32">
        <v>1</v>
      </c>
      <c r="B32" t="s">
        <v>11</v>
      </c>
      <c r="C32">
        <v>3</v>
      </c>
      <c r="D32" s="1">
        <v>25</v>
      </c>
      <c r="E32" s="1">
        <f t="shared" si="0"/>
        <v>30.000000000000004</v>
      </c>
      <c r="F32">
        <v>0.14000000000000001</v>
      </c>
      <c r="G32">
        <v>120</v>
      </c>
      <c r="H32">
        <v>0.22</v>
      </c>
      <c r="I32" s="2">
        <v>3.74</v>
      </c>
      <c r="J32">
        <v>35</v>
      </c>
      <c r="K32" t="s">
        <v>62</v>
      </c>
      <c r="L32" s="21">
        <v>0.05</v>
      </c>
      <c r="M32" s="21">
        <f>18.8*10</f>
        <v>188</v>
      </c>
      <c r="N32" s="21">
        <v>0.04</v>
      </c>
      <c r="O32" s="4">
        <v>4.596000000000001</v>
      </c>
      <c r="P32">
        <v>0.51</v>
      </c>
    </row>
    <row r="33" spans="1:16" x14ac:dyDescent="0.25">
      <c r="A33">
        <v>1</v>
      </c>
      <c r="B33" t="s">
        <v>11</v>
      </c>
      <c r="C33">
        <v>4</v>
      </c>
      <c r="D33" s="1">
        <v>20</v>
      </c>
      <c r="E33" s="1">
        <f t="shared" si="0"/>
        <v>26.56505117707799</v>
      </c>
      <c r="F33">
        <v>0.05</v>
      </c>
      <c r="G33">
        <v>146</v>
      </c>
      <c r="H33">
        <v>0.26</v>
      </c>
      <c r="I33" s="2">
        <v>3.51</v>
      </c>
      <c r="J33">
        <v>35</v>
      </c>
      <c r="K33" t="s">
        <v>62</v>
      </c>
      <c r="L33" s="21">
        <v>0.05</v>
      </c>
      <c r="M33" s="21">
        <f>20.2*10</f>
        <v>202</v>
      </c>
      <c r="N33" s="21">
        <v>0.04</v>
      </c>
      <c r="O33" s="4">
        <v>4.4700000000000006</v>
      </c>
      <c r="P33">
        <v>0.61</v>
      </c>
    </row>
    <row r="34" spans="1:16" x14ac:dyDescent="0.25">
      <c r="A34">
        <v>1</v>
      </c>
      <c r="B34" t="s">
        <v>12</v>
      </c>
      <c r="C34">
        <v>1</v>
      </c>
      <c r="D34" s="1">
        <v>45</v>
      </c>
      <c r="E34" s="1">
        <f t="shared" ref="E34:E65" si="1">ASIN(SQRT(D34/100))*180/PI()</f>
        <v>42.130414761366609</v>
      </c>
      <c r="F34">
        <v>0.61</v>
      </c>
      <c r="G34">
        <v>126</v>
      </c>
      <c r="H34">
        <v>0.81</v>
      </c>
      <c r="I34" s="2">
        <v>4.0199999999999996</v>
      </c>
      <c r="J34">
        <v>30</v>
      </c>
      <c r="K34" t="s">
        <v>62</v>
      </c>
      <c r="L34" s="21">
        <v>0.05</v>
      </c>
      <c r="M34" s="21">
        <f>19.6*10</f>
        <v>196</v>
      </c>
      <c r="N34" s="21">
        <v>0.15</v>
      </c>
      <c r="O34" s="4">
        <v>4.6159999999999997</v>
      </c>
      <c r="P34">
        <v>0.69</v>
      </c>
    </row>
    <row r="35" spans="1:16" x14ac:dyDescent="0.25">
      <c r="A35">
        <v>1</v>
      </c>
      <c r="B35" t="s">
        <v>12</v>
      </c>
      <c r="C35">
        <v>2</v>
      </c>
      <c r="D35" s="1">
        <v>60</v>
      </c>
      <c r="E35" s="1">
        <f t="shared" si="1"/>
        <v>50.768479516407751</v>
      </c>
      <c r="F35">
        <v>0.9</v>
      </c>
      <c r="G35">
        <v>156</v>
      </c>
      <c r="H35">
        <v>1.23</v>
      </c>
      <c r="I35" s="2">
        <v>3.82</v>
      </c>
      <c r="J35">
        <v>30</v>
      </c>
      <c r="K35" t="s">
        <v>62</v>
      </c>
      <c r="L35" s="21">
        <v>0.05</v>
      </c>
      <c r="M35" s="21">
        <f>20.2*10</f>
        <v>202</v>
      </c>
      <c r="N35" s="21">
        <v>0.03</v>
      </c>
      <c r="O35" s="4">
        <v>4.5499999999999989</v>
      </c>
      <c r="P35">
        <v>0.56999999999999995</v>
      </c>
    </row>
    <row r="36" spans="1:16" x14ac:dyDescent="0.25">
      <c r="A36">
        <v>1</v>
      </c>
      <c r="B36" t="s">
        <v>12</v>
      </c>
      <c r="C36">
        <v>3</v>
      </c>
      <c r="D36" s="1">
        <v>50</v>
      </c>
      <c r="E36" s="1">
        <f t="shared" si="1"/>
        <v>45.000000000000007</v>
      </c>
      <c r="F36">
        <v>1.51</v>
      </c>
      <c r="G36">
        <v>136</v>
      </c>
      <c r="H36">
        <v>1.02</v>
      </c>
      <c r="I36" s="2">
        <v>3.71</v>
      </c>
      <c r="J36">
        <v>30</v>
      </c>
      <c r="K36" t="s">
        <v>62</v>
      </c>
      <c r="L36" s="21">
        <v>0.05</v>
      </c>
      <c r="M36" s="21">
        <f>18.8*10</f>
        <v>188</v>
      </c>
      <c r="N36" s="21">
        <v>0.04</v>
      </c>
      <c r="O36" s="4">
        <v>4.596000000000001</v>
      </c>
      <c r="P36">
        <v>0.51</v>
      </c>
    </row>
    <row r="37" spans="1:16" x14ac:dyDescent="0.25">
      <c r="A37">
        <v>1</v>
      </c>
      <c r="B37" t="s">
        <v>12</v>
      </c>
      <c r="C37">
        <v>4</v>
      </c>
      <c r="D37" s="1">
        <v>55.000000000000007</v>
      </c>
      <c r="E37" s="1">
        <f t="shared" si="1"/>
        <v>47.869585238633384</v>
      </c>
      <c r="F37">
        <v>0.89</v>
      </c>
      <c r="G37">
        <v>110</v>
      </c>
      <c r="H37">
        <v>1.22</v>
      </c>
      <c r="I37" s="2">
        <v>3.95</v>
      </c>
      <c r="J37">
        <v>30</v>
      </c>
      <c r="K37" t="s">
        <v>62</v>
      </c>
      <c r="L37" s="21">
        <v>0.05</v>
      </c>
      <c r="M37" s="21">
        <f>20.2*10</f>
        <v>202</v>
      </c>
      <c r="N37" s="21">
        <v>0.04</v>
      </c>
      <c r="O37" s="4">
        <v>4.4700000000000006</v>
      </c>
      <c r="P37">
        <v>0.61</v>
      </c>
    </row>
    <row r="38" spans="1:16" x14ac:dyDescent="0.25">
      <c r="A38">
        <v>1</v>
      </c>
      <c r="B38" t="s">
        <v>13</v>
      </c>
      <c r="C38">
        <v>1</v>
      </c>
      <c r="D38" s="1">
        <v>40</v>
      </c>
      <c r="E38" s="1">
        <f t="shared" si="1"/>
        <v>39.231520483592263</v>
      </c>
      <c r="F38">
        <v>0.12</v>
      </c>
      <c r="G38">
        <v>184</v>
      </c>
      <c r="H38">
        <v>0.33</v>
      </c>
      <c r="I38" s="2">
        <v>3.56</v>
      </c>
      <c r="J38">
        <v>35</v>
      </c>
      <c r="K38" t="s">
        <v>62</v>
      </c>
      <c r="L38" s="21">
        <v>0.05</v>
      </c>
      <c r="M38" s="21">
        <f>19.6*10</f>
        <v>196</v>
      </c>
      <c r="N38" s="21">
        <v>0.15</v>
      </c>
      <c r="O38" s="4">
        <v>4.6159999999999997</v>
      </c>
      <c r="P38">
        <v>0.69</v>
      </c>
    </row>
    <row r="39" spans="1:16" x14ac:dyDescent="0.25">
      <c r="A39">
        <v>1</v>
      </c>
      <c r="B39" t="s">
        <v>13</v>
      </c>
      <c r="C39">
        <v>2</v>
      </c>
      <c r="D39" s="1">
        <v>30</v>
      </c>
      <c r="E39" s="1">
        <f t="shared" si="1"/>
        <v>33.210910760899083</v>
      </c>
      <c r="F39">
        <v>0.1</v>
      </c>
      <c r="G39">
        <v>164</v>
      </c>
      <c r="H39">
        <v>0.41</v>
      </c>
      <c r="I39" s="2">
        <v>3.9</v>
      </c>
      <c r="J39">
        <v>35</v>
      </c>
      <c r="K39" t="s">
        <v>62</v>
      </c>
      <c r="L39" s="21">
        <v>0.05</v>
      </c>
      <c r="M39" s="21">
        <f>20.2*10</f>
        <v>202</v>
      </c>
      <c r="N39" s="21">
        <v>0.03</v>
      </c>
      <c r="O39" s="4">
        <v>4.5499999999999989</v>
      </c>
      <c r="P39">
        <v>0.56999999999999995</v>
      </c>
    </row>
    <row r="40" spans="1:16" x14ac:dyDescent="0.25">
      <c r="A40">
        <v>1</v>
      </c>
      <c r="B40" t="s">
        <v>13</v>
      </c>
      <c r="C40">
        <v>3</v>
      </c>
      <c r="D40" s="1">
        <v>30</v>
      </c>
      <c r="E40" s="1">
        <f t="shared" si="1"/>
        <v>33.210910760899083</v>
      </c>
      <c r="F40">
        <v>0.12</v>
      </c>
      <c r="G40">
        <v>160</v>
      </c>
      <c r="H40">
        <v>0.28000000000000003</v>
      </c>
      <c r="I40" s="2">
        <v>3.97</v>
      </c>
      <c r="J40">
        <v>35</v>
      </c>
      <c r="K40" t="s">
        <v>62</v>
      </c>
      <c r="L40" s="21">
        <v>0.05</v>
      </c>
      <c r="M40" s="21">
        <f>18.8*10</f>
        <v>188</v>
      </c>
      <c r="N40" s="21">
        <v>0.04</v>
      </c>
      <c r="O40" s="4">
        <v>4.596000000000001</v>
      </c>
      <c r="P40">
        <v>0.51</v>
      </c>
    </row>
    <row r="41" spans="1:16" x14ac:dyDescent="0.25">
      <c r="A41">
        <v>1</v>
      </c>
      <c r="B41" t="s">
        <v>13</v>
      </c>
      <c r="C41">
        <v>4</v>
      </c>
      <c r="D41" s="1">
        <v>25</v>
      </c>
      <c r="E41" s="1">
        <f t="shared" si="1"/>
        <v>30.000000000000004</v>
      </c>
      <c r="F41">
        <v>0.14000000000000001</v>
      </c>
      <c r="G41">
        <v>158</v>
      </c>
      <c r="H41">
        <v>0.36</v>
      </c>
      <c r="I41" s="2">
        <v>3.99</v>
      </c>
      <c r="J41">
        <v>35</v>
      </c>
      <c r="K41" t="s">
        <v>62</v>
      </c>
      <c r="L41" s="21">
        <v>0.05</v>
      </c>
      <c r="M41" s="21">
        <f>20.2*10</f>
        <v>202</v>
      </c>
      <c r="N41" s="21">
        <v>0.04</v>
      </c>
      <c r="O41" s="4">
        <v>4.4700000000000006</v>
      </c>
      <c r="P41">
        <v>0.61</v>
      </c>
    </row>
    <row r="42" spans="1:16" x14ac:dyDescent="0.25">
      <c r="A42">
        <v>1</v>
      </c>
      <c r="B42" t="s">
        <v>14</v>
      </c>
      <c r="C42">
        <v>1</v>
      </c>
      <c r="D42" s="1">
        <v>10</v>
      </c>
      <c r="E42" s="1">
        <f t="shared" si="1"/>
        <v>18.434948822922014</v>
      </c>
      <c r="F42">
        <v>7.0000000000000007E-2</v>
      </c>
      <c r="G42">
        <v>202</v>
      </c>
      <c r="H42">
        <v>0.37</v>
      </c>
      <c r="I42" s="2">
        <v>4.0599999999999996</v>
      </c>
      <c r="J42">
        <v>35</v>
      </c>
      <c r="K42" t="s">
        <v>62</v>
      </c>
      <c r="L42" s="21">
        <v>0.05</v>
      </c>
      <c r="M42" s="21">
        <f>19.6*10</f>
        <v>196</v>
      </c>
      <c r="N42" s="21">
        <v>0.15</v>
      </c>
      <c r="O42" s="4">
        <v>4.6159999999999997</v>
      </c>
      <c r="P42">
        <v>0.69</v>
      </c>
    </row>
    <row r="43" spans="1:16" x14ac:dyDescent="0.25">
      <c r="A43">
        <v>1</v>
      </c>
      <c r="B43" t="s">
        <v>14</v>
      </c>
      <c r="C43">
        <v>2</v>
      </c>
      <c r="D43" s="1">
        <v>15</v>
      </c>
      <c r="E43" s="1">
        <f t="shared" si="1"/>
        <v>22.786497999597149</v>
      </c>
      <c r="F43">
        <v>0.05</v>
      </c>
      <c r="G43">
        <v>184</v>
      </c>
      <c r="H43">
        <v>0.42</v>
      </c>
      <c r="I43" s="2">
        <v>3.94</v>
      </c>
      <c r="J43">
        <v>35</v>
      </c>
      <c r="K43" t="s">
        <v>62</v>
      </c>
      <c r="L43" s="21">
        <v>0.05</v>
      </c>
      <c r="M43" s="21">
        <f>20.2*10</f>
        <v>202</v>
      </c>
      <c r="N43" s="21">
        <v>0.03</v>
      </c>
      <c r="O43" s="4">
        <v>4.5499999999999989</v>
      </c>
      <c r="P43">
        <v>0.56999999999999995</v>
      </c>
    </row>
    <row r="44" spans="1:16" x14ac:dyDescent="0.25">
      <c r="A44">
        <v>1</v>
      </c>
      <c r="B44" t="s">
        <v>14</v>
      </c>
      <c r="C44">
        <v>3</v>
      </c>
      <c r="D44" s="1">
        <v>15</v>
      </c>
      <c r="E44" s="1">
        <f t="shared" si="1"/>
        <v>22.786497999597149</v>
      </c>
      <c r="F44">
        <v>0.06</v>
      </c>
      <c r="G44">
        <v>190</v>
      </c>
      <c r="H44">
        <v>0.41</v>
      </c>
      <c r="I44" s="2">
        <v>3.67</v>
      </c>
      <c r="J44">
        <v>35</v>
      </c>
      <c r="K44" t="s">
        <v>62</v>
      </c>
      <c r="L44" s="21">
        <v>0.05</v>
      </c>
      <c r="M44" s="21">
        <f>18.8*10</f>
        <v>188</v>
      </c>
      <c r="N44" s="21">
        <v>0.04</v>
      </c>
      <c r="O44" s="4">
        <v>4.596000000000001</v>
      </c>
      <c r="P44">
        <v>0.51</v>
      </c>
    </row>
    <row r="45" spans="1:16" x14ac:dyDescent="0.25">
      <c r="A45">
        <v>1</v>
      </c>
      <c r="B45" t="s">
        <v>14</v>
      </c>
      <c r="C45">
        <v>4</v>
      </c>
      <c r="D45" s="1">
        <v>5</v>
      </c>
      <c r="E45" s="1">
        <f t="shared" si="1"/>
        <v>12.920966381583565</v>
      </c>
      <c r="F45">
        <v>0.05</v>
      </c>
      <c r="G45">
        <v>178</v>
      </c>
      <c r="H45">
        <v>0.44</v>
      </c>
      <c r="I45" s="2">
        <v>3.92</v>
      </c>
      <c r="J45">
        <v>35</v>
      </c>
      <c r="K45" t="s">
        <v>62</v>
      </c>
      <c r="L45" s="21">
        <v>0.05</v>
      </c>
      <c r="M45" s="21">
        <f>20.2*10</f>
        <v>202</v>
      </c>
      <c r="N45" s="21">
        <v>0.04</v>
      </c>
      <c r="O45" s="4">
        <v>4.4700000000000006</v>
      </c>
      <c r="P45">
        <v>0.61</v>
      </c>
    </row>
    <row r="46" spans="1:16" x14ac:dyDescent="0.25">
      <c r="A46">
        <v>2</v>
      </c>
      <c r="B46" t="s">
        <v>4</v>
      </c>
      <c r="C46">
        <v>1</v>
      </c>
      <c r="D46" s="1">
        <v>40</v>
      </c>
      <c r="E46" s="1">
        <f t="shared" si="1"/>
        <v>39.231520483592263</v>
      </c>
      <c r="F46">
        <v>0.14000000000000001</v>
      </c>
      <c r="G46">
        <v>161</v>
      </c>
      <c r="H46">
        <v>0.2</v>
      </c>
      <c r="I46" s="2">
        <v>3.71</v>
      </c>
      <c r="J46">
        <v>35</v>
      </c>
      <c r="K46" t="s">
        <v>62</v>
      </c>
      <c r="L46" s="21">
        <v>0.05</v>
      </c>
      <c r="M46" s="21">
        <f>18*10</f>
        <v>180</v>
      </c>
      <c r="N46" s="21">
        <v>0.19</v>
      </c>
      <c r="O46" s="4">
        <v>4.6780000000000008</v>
      </c>
      <c r="P46">
        <v>0.56999999999999995</v>
      </c>
    </row>
    <row r="47" spans="1:16" x14ac:dyDescent="0.25">
      <c r="A47">
        <v>2</v>
      </c>
      <c r="B47" t="s">
        <v>4</v>
      </c>
      <c r="C47">
        <v>2</v>
      </c>
      <c r="D47" s="1">
        <v>10</v>
      </c>
      <c r="E47" s="1">
        <f t="shared" si="1"/>
        <v>18.434948822922014</v>
      </c>
      <c r="F47">
        <v>0.1</v>
      </c>
      <c r="G47">
        <v>164</v>
      </c>
      <c r="H47">
        <v>0.16</v>
      </c>
      <c r="I47" s="2">
        <v>3.9</v>
      </c>
      <c r="J47">
        <v>35</v>
      </c>
      <c r="K47" t="s">
        <v>62</v>
      </c>
      <c r="L47" s="21">
        <v>0.05</v>
      </c>
      <c r="M47" s="21">
        <f>17.4*10</f>
        <v>174</v>
      </c>
      <c r="N47" s="21">
        <v>0.21</v>
      </c>
      <c r="O47" s="4">
        <v>4.6879999999999997</v>
      </c>
      <c r="P47">
        <v>0.62</v>
      </c>
    </row>
    <row r="48" spans="1:16" x14ac:dyDescent="0.25">
      <c r="A48">
        <v>2</v>
      </c>
      <c r="B48" t="s">
        <v>4</v>
      </c>
      <c r="C48">
        <v>3</v>
      </c>
      <c r="D48" s="1">
        <v>5</v>
      </c>
      <c r="E48" s="1">
        <f t="shared" si="1"/>
        <v>12.920966381583565</v>
      </c>
      <c r="F48">
        <v>0.05</v>
      </c>
      <c r="G48">
        <v>170</v>
      </c>
      <c r="H48">
        <v>0.05</v>
      </c>
      <c r="I48" s="2">
        <v>3.63</v>
      </c>
      <c r="J48">
        <v>35</v>
      </c>
      <c r="K48" t="s">
        <v>62</v>
      </c>
      <c r="L48" s="21">
        <v>0.05</v>
      </c>
      <c r="M48" s="21">
        <f>14.2*10</f>
        <v>142</v>
      </c>
      <c r="N48" s="21">
        <v>0.09</v>
      </c>
      <c r="O48" s="4">
        <v>4.9480000000000004</v>
      </c>
      <c r="P48">
        <v>0.85</v>
      </c>
    </row>
    <row r="49" spans="1:16" x14ac:dyDescent="0.25">
      <c r="A49">
        <v>2</v>
      </c>
      <c r="B49" t="s">
        <v>4</v>
      </c>
      <c r="C49">
        <v>4</v>
      </c>
      <c r="D49" s="1">
        <v>15</v>
      </c>
      <c r="E49" s="1">
        <f t="shared" si="1"/>
        <v>22.786497999597149</v>
      </c>
      <c r="F49">
        <v>0.11</v>
      </c>
      <c r="G49">
        <v>154</v>
      </c>
      <c r="H49">
        <v>0.06</v>
      </c>
      <c r="I49" s="2">
        <v>3.71</v>
      </c>
      <c r="J49">
        <v>35</v>
      </c>
      <c r="K49" t="s">
        <v>62</v>
      </c>
      <c r="L49" s="21">
        <v>0.05</v>
      </c>
      <c r="M49" s="21">
        <f>14.2*10</f>
        <v>142</v>
      </c>
      <c r="N49" s="21">
        <v>0.15</v>
      </c>
      <c r="O49" s="4">
        <v>4.8439999999999994</v>
      </c>
      <c r="P49">
        <v>0.7</v>
      </c>
    </row>
    <row r="50" spans="1:16" x14ac:dyDescent="0.25">
      <c r="A50">
        <v>2</v>
      </c>
      <c r="B50" t="s">
        <v>5</v>
      </c>
      <c r="C50">
        <v>1</v>
      </c>
      <c r="D50" s="1">
        <v>65</v>
      </c>
      <c r="E50" s="1">
        <f t="shared" si="1"/>
        <v>53.728801561861061</v>
      </c>
      <c r="F50">
        <v>2.12</v>
      </c>
      <c r="G50">
        <v>152</v>
      </c>
      <c r="H50">
        <v>1.4</v>
      </c>
      <c r="I50" s="2">
        <v>3.95</v>
      </c>
      <c r="J50">
        <v>30</v>
      </c>
      <c r="K50" t="s">
        <v>62</v>
      </c>
      <c r="L50" s="21">
        <v>0.05</v>
      </c>
      <c r="M50" s="21">
        <f>18*10</f>
        <v>180</v>
      </c>
      <c r="N50" s="21">
        <v>0.19</v>
      </c>
      <c r="O50" s="4">
        <v>4.6780000000000008</v>
      </c>
      <c r="P50">
        <v>0.56999999999999995</v>
      </c>
    </row>
    <row r="51" spans="1:16" x14ac:dyDescent="0.25">
      <c r="A51">
        <v>2</v>
      </c>
      <c r="B51" t="s">
        <v>5</v>
      </c>
      <c r="C51">
        <v>2</v>
      </c>
      <c r="D51" s="1">
        <v>75</v>
      </c>
      <c r="E51" s="1">
        <f t="shared" si="1"/>
        <v>59.999999999999993</v>
      </c>
      <c r="F51">
        <v>1.81</v>
      </c>
      <c r="G51">
        <v>144</v>
      </c>
      <c r="H51">
        <v>1.26</v>
      </c>
      <c r="I51" s="2">
        <v>4.0599999999999996</v>
      </c>
      <c r="J51">
        <v>30</v>
      </c>
      <c r="K51" t="s">
        <v>62</v>
      </c>
      <c r="L51" s="21">
        <v>0.05</v>
      </c>
      <c r="M51" s="21">
        <f>17.4*10</f>
        <v>174</v>
      </c>
      <c r="N51" s="21">
        <v>0.21</v>
      </c>
      <c r="O51" s="4">
        <v>4.6879999999999997</v>
      </c>
      <c r="P51">
        <v>0.62</v>
      </c>
    </row>
    <row r="52" spans="1:16" x14ac:dyDescent="0.25">
      <c r="A52">
        <v>2</v>
      </c>
      <c r="B52" t="s">
        <v>5</v>
      </c>
      <c r="C52">
        <v>3</v>
      </c>
      <c r="D52" s="1">
        <v>65</v>
      </c>
      <c r="E52" s="1">
        <f t="shared" si="1"/>
        <v>53.728801561861061</v>
      </c>
      <c r="F52">
        <v>2.1</v>
      </c>
      <c r="G52">
        <v>135</v>
      </c>
      <c r="H52">
        <v>1.23</v>
      </c>
      <c r="I52" s="2">
        <v>3.52</v>
      </c>
      <c r="J52">
        <v>30</v>
      </c>
      <c r="K52" t="s">
        <v>62</v>
      </c>
      <c r="L52" s="21">
        <v>0.05</v>
      </c>
      <c r="M52" s="21">
        <f>14.2*10</f>
        <v>142</v>
      </c>
      <c r="N52" s="21">
        <v>0.09</v>
      </c>
      <c r="O52" s="4">
        <v>4.9480000000000004</v>
      </c>
      <c r="P52">
        <v>0.85</v>
      </c>
    </row>
    <row r="53" spans="1:16" x14ac:dyDescent="0.25">
      <c r="A53">
        <v>2</v>
      </c>
      <c r="B53" t="s">
        <v>5</v>
      </c>
      <c r="C53">
        <v>4</v>
      </c>
      <c r="D53" s="1">
        <v>50</v>
      </c>
      <c r="E53" s="1">
        <f t="shared" si="1"/>
        <v>45.000000000000007</v>
      </c>
      <c r="F53">
        <v>1.35</v>
      </c>
      <c r="G53">
        <v>88</v>
      </c>
      <c r="H53">
        <v>1.04</v>
      </c>
      <c r="I53" s="2">
        <v>3.64</v>
      </c>
      <c r="J53">
        <v>30</v>
      </c>
      <c r="K53" t="s">
        <v>62</v>
      </c>
      <c r="L53" s="21">
        <v>0.05</v>
      </c>
      <c r="M53" s="21">
        <f>14.2*10</f>
        <v>142</v>
      </c>
      <c r="N53" s="21">
        <v>0.15</v>
      </c>
      <c r="O53" s="4">
        <v>4.8439999999999994</v>
      </c>
      <c r="P53">
        <v>0.7</v>
      </c>
    </row>
    <row r="54" spans="1:16" x14ac:dyDescent="0.25">
      <c r="A54">
        <v>2</v>
      </c>
      <c r="B54" t="s">
        <v>17</v>
      </c>
      <c r="C54">
        <v>1</v>
      </c>
      <c r="D54" s="1">
        <v>60</v>
      </c>
      <c r="E54" s="1">
        <f t="shared" si="1"/>
        <v>50.768479516407751</v>
      </c>
      <c r="F54">
        <v>0.05</v>
      </c>
      <c r="G54">
        <v>196</v>
      </c>
      <c r="H54">
        <v>0.38</v>
      </c>
      <c r="I54" s="2">
        <v>3.81</v>
      </c>
      <c r="J54">
        <v>35</v>
      </c>
      <c r="K54" t="s">
        <v>62</v>
      </c>
      <c r="L54" s="21">
        <v>0.05</v>
      </c>
      <c r="M54" s="21">
        <f>18*10</f>
        <v>180</v>
      </c>
      <c r="N54" s="21">
        <v>0.19</v>
      </c>
      <c r="O54" s="4">
        <v>4.6780000000000008</v>
      </c>
      <c r="P54">
        <v>0.56999999999999995</v>
      </c>
    </row>
    <row r="55" spans="1:16" x14ac:dyDescent="0.25">
      <c r="A55">
        <v>2</v>
      </c>
      <c r="B55" t="s">
        <v>17</v>
      </c>
      <c r="C55">
        <v>2</v>
      </c>
      <c r="D55" s="1">
        <v>60</v>
      </c>
      <c r="E55" s="1">
        <f t="shared" si="1"/>
        <v>50.768479516407751</v>
      </c>
      <c r="F55">
        <v>0.33</v>
      </c>
      <c r="G55">
        <v>182</v>
      </c>
      <c r="H55">
        <v>0.38</v>
      </c>
      <c r="I55" s="2">
        <v>3.49</v>
      </c>
      <c r="J55">
        <v>35</v>
      </c>
      <c r="K55" t="s">
        <v>62</v>
      </c>
      <c r="L55" s="21">
        <v>0.05</v>
      </c>
      <c r="M55" s="21">
        <f>17.4*10</f>
        <v>174</v>
      </c>
      <c r="N55" s="21">
        <v>0.21</v>
      </c>
      <c r="O55" s="4">
        <v>4.6879999999999997</v>
      </c>
      <c r="P55">
        <v>0.62</v>
      </c>
    </row>
    <row r="56" spans="1:16" x14ac:dyDescent="0.25">
      <c r="A56">
        <v>2</v>
      </c>
      <c r="B56" t="s">
        <v>17</v>
      </c>
      <c r="C56">
        <v>3</v>
      </c>
      <c r="D56" s="1">
        <v>55.000000000000007</v>
      </c>
      <c r="E56" s="1">
        <f t="shared" si="1"/>
        <v>47.869585238633384</v>
      </c>
      <c r="F56">
        <v>0.18</v>
      </c>
      <c r="G56">
        <v>176</v>
      </c>
      <c r="H56">
        <v>0.41</v>
      </c>
      <c r="I56" s="2">
        <v>4.04</v>
      </c>
      <c r="J56">
        <v>35</v>
      </c>
      <c r="K56" t="s">
        <v>62</v>
      </c>
      <c r="L56" s="21">
        <v>0.05</v>
      </c>
      <c r="M56" s="21">
        <f>14.2*10</f>
        <v>142</v>
      </c>
      <c r="N56" s="21">
        <v>0.09</v>
      </c>
      <c r="O56" s="4">
        <v>4.9480000000000004</v>
      </c>
      <c r="P56">
        <v>0.85</v>
      </c>
    </row>
    <row r="57" spans="1:16" x14ac:dyDescent="0.25">
      <c r="A57">
        <v>2</v>
      </c>
      <c r="B57" t="s">
        <v>17</v>
      </c>
      <c r="C57">
        <v>4</v>
      </c>
      <c r="D57" s="1">
        <v>35</v>
      </c>
      <c r="E57" s="1">
        <f t="shared" si="1"/>
        <v>36.271198438138953</v>
      </c>
      <c r="F57">
        <v>0.38</v>
      </c>
      <c r="G57">
        <v>176</v>
      </c>
      <c r="H57">
        <v>0.37</v>
      </c>
      <c r="I57" s="2">
        <v>3.51</v>
      </c>
      <c r="J57">
        <v>35</v>
      </c>
      <c r="K57" t="s">
        <v>62</v>
      </c>
      <c r="L57" s="21">
        <v>0.05</v>
      </c>
      <c r="M57" s="21">
        <f>14.2*10</f>
        <v>142</v>
      </c>
      <c r="N57" s="21">
        <v>0.15</v>
      </c>
      <c r="O57" s="4">
        <v>4.8439999999999994</v>
      </c>
      <c r="P57">
        <v>0.7</v>
      </c>
    </row>
    <row r="58" spans="1:16" x14ac:dyDescent="0.25">
      <c r="A58">
        <v>2</v>
      </c>
      <c r="B58" t="s">
        <v>6</v>
      </c>
      <c r="C58">
        <v>1</v>
      </c>
      <c r="D58" s="1">
        <v>45</v>
      </c>
      <c r="E58" s="1">
        <f t="shared" si="1"/>
        <v>42.130414761366609</v>
      </c>
      <c r="F58">
        <v>0.47</v>
      </c>
      <c r="G58">
        <v>184</v>
      </c>
      <c r="H58">
        <v>0.46</v>
      </c>
      <c r="I58" s="2">
        <v>3.85</v>
      </c>
      <c r="J58">
        <v>15</v>
      </c>
      <c r="K58" t="s">
        <v>62</v>
      </c>
      <c r="L58" s="21">
        <v>0.05</v>
      </c>
      <c r="M58" s="21">
        <f>18*10</f>
        <v>180</v>
      </c>
      <c r="N58" s="21">
        <v>0.19</v>
      </c>
      <c r="O58" s="4">
        <v>4.6780000000000008</v>
      </c>
      <c r="P58">
        <v>0.56999999999999995</v>
      </c>
    </row>
    <row r="59" spans="1:16" x14ac:dyDescent="0.25">
      <c r="A59">
        <v>2</v>
      </c>
      <c r="B59" t="s">
        <v>6</v>
      </c>
      <c r="C59">
        <v>2</v>
      </c>
      <c r="D59" s="1">
        <v>30</v>
      </c>
      <c r="E59" s="1">
        <f t="shared" si="1"/>
        <v>33.210910760899083</v>
      </c>
      <c r="F59">
        <v>0.55000000000000004</v>
      </c>
      <c r="G59">
        <v>188</v>
      </c>
      <c r="H59">
        <v>0.61</v>
      </c>
      <c r="I59" s="2">
        <v>3.94</v>
      </c>
      <c r="J59">
        <v>15</v>
      </c>
      <c r="K59" t="s">
        <v>62</v>
      </c>
      <c r="L59" s="21">
        <v>0.05</v>
      </c>
      <c r="M59" s="21">
        <f>17.4*10</f>
        <v>174</v>
      </c>
      <c r="N59" s="21">
        <v>0.21</v>
      </c>
      <c r="O59" s="4">
        <v>4.6879999999999997</v>
      </c>
      <c r="P59">
        <v>0.62</v>
      </c>
    </row>
    <row r="60" spans="1:16" x14ac:dyDescent="0.25">
      <c r="A60">
        <v>2</v>
      </c>
      <c r="B60" t="s">
        <v>6</v>
      </c>
      <c r="C60">
        <v>3</v>
      </c>
      <c r="D60" s="1">
        <v>40</v>
      </c>
      <c r="E60" s="1">
        <f t="shared" si="1"/>
        <v>39.231520483592263</v>
      </c>
      <c r="F60">
        <v>0.38</v>
      </c>
      <c r="G60">
        <v>147</v>
      </c>
      <c r="H60">
        <v>0.44</v>
      </c>
      <c r="I60" s="2">
        <v>3.63</v>
      </c>
      <c r="J60">
        <v>15</v>
      </c>
      <c r="K60" t="s">
        <v>62</v>
      </c>
      <c r="L60" s="21">
        <v>0.05</v>
      </c>
      <c r="M60" s="21">
        <f>14.2*10</f>
        <v>142</v>
      </c>
      <c r="N60" s="21">
        <v>0.09</v>
      </c>
      <c r="O60" s="4">
        <v>4.9480000000000004</v>
      </c>
      <c r="P60">
        <v>0.85</v>
      </c>
    </row>
    <row r="61" spans="1:16" x14ac:dyDescent="0.25">
      <c r="A61">
        <v>2</v>
      </c>
      <c r="B61" t="s">
        <v>6</v>
      </c>
      <c r="C61">
        <v>4</v>
      </c>
      <c r="D61" s="1">
        <v>35</v>
      </c>
      <c r="E61" s="1">
        <f t="shared" si="1"/>
        <v>36.271198438138953</v>
      </c>
      <c r="F61">
        <v>0.34</v>
      </c>
      <c r="G61">
        <v>174</v>
      </c>
      <c r="H61">
        <v>0.63</v>
      </c>
      <c r="I61" s="2">
        <v>3.65</v>
      </c>
      <c r="J61">
        <v>15</v>
      </c>
      <c r="K61" t="s">
        <v>62</v>
      </c>
      <c r="L61" s="21">
        <v>0.05</v>
      </c>
      <c r="M61" s="21">
        <f>14.2*10</f>
        <v>142</v>
      </c>
      <c r="N61" s="21">
        <v>0.15</v>
      </c>
      <c r="O61" s="4">
        <v>4.8439999999999994</v>
      </c>
      <c r="P61">
        <v>0.7</v>
      </c>
    </row>
    <row r="62" spans="1:16" x14ac:dyDescent="0.25">
      <c r="A62">
        <v>2</v>
      </c>
      <c r="B62" t="s">
        <v>7</v>
      </c>
      <c r="C62">
        <v>1</v>
      </c>
      <c r="D62" s="1">
        <v>80</v>
      </c>
      <c r="E62" s="1">
        <f t="shared" si="1"/>
        <v>63.43494882292201</v>
      </c>
      <c r="F62">
        <v>1.23</v>
      </c>
      <c r="G62">
        <v>157</v>
      </c>
      <c r="H62">
        <v>0.91</v>
      </c>
      <c r="I62" s="2">
        <v>3.9</v>
      </c>
      <c r="J62">
        <v>35</v>
      </c>
      <c r="K62" t="s">
        <v>62</v>
      </c>
      <c r="L62" s="21">
        <v>0.05</v>
      </c>
      <c r="M62" s="21">
        <f>18*10</f>
        <v>180</v>
      </c>
      <c r="N62" s="21">
        <v>0.19</v>
      </c>
      <c r="O62" s="4">
        <v>4.6780000000000008</v>
      </c>
      <c r="P62">
        <v>0.56999999999999995</v>
      </c>
    </row>
    <row r="63" spans="1:16" x14ac:dyDescent="0.25">
      <c r="A63">
        <v>2</v>
      </c>
      <c r="B63" t="s">
        <v>7</v>
      </c>
      <c r="C63">
        <v>2</v>
      </c>
      <c r="D63" s="1">
        <v>40</v>
      </c>
      <c r="E63" s="1">
        <f t="shared" si="1"/>
        <v>39.231520483592263</v>
      </c>
      <c r="F63">
        <v>1.29</v>
      </c>
      <c r="G63">
        <v>152</v>
      </c>
      <c r="H63">
        <v>0.83</v>
      </c>
      <c r="I63" s="2">
        <v>3.84</v>
      </c>
      <c r="J63">
        <v>35</v>
      </c>
      <c r="K63" t="s">
        <v>62</v>
      </c>
      <c r="L63" s="21">
        <v>0.05</v>
      </c>
      <c r="M63" s="21">
        <f>17.4*10</f>
        <v>174</v>
      </c>
      <c r="N63" s="21">
        <v>0.21</v>
      </c>
      <c r="O63" s="4">
        <v>4.6879999999999997</v>
      </c>
      <c r="P63">
        <v>0.62</v>
      </c>
    </row>
    <row r="64" spans="1:16" x14ac:dyDescent="0.25">
      <c r="A64">
        <v>2</v>
      </c>
      <c r="B64" t="s">
        <v>7</v>
      </c>
      <c r="C64">
        <v>3</v>
      </c>
      <c r="D64" s="1">
        <v>65</v>
      </c>
      <c r="E64" s="1">
        <f t="shared" si="1"/>
        <v>53.728801561861061</v>
      </c>
      <c r="F64">
        <v>2.4</v>
      </c>
      <c r="G64">
        <v>124</v>
      </c>
      <c r="H64">
        <v>1.1000000000000001</v>
      </c>
      <c r="I64" s="2">
        <v>3.54</v>
      </c>
      <c r="J64">
        <v>35</v>
      </c>
      <c r="K64" t="s">
        <v>62</v>
      </c>
      <c r="L64" s="21">
        <v>0.05</v>
      </c>
      <c r="M64" s="21">
        <f>14.2*10</f>
        <v>142</v>
      </c>
      <c r="N64" s="21">
        <v>0.09</v>
      </c>
      <c r="O64" s="4">
        <v>4.9480000000000004</v>
      </c>
      <c r="P64">
        <v>0.85</v>
      </c>
    </row>
    <row r="65" spans="1:16" x14ac:dyDescent="0.25">
      <c r="A65">
        <v>2</v>
      </c>
      <c r="B65" t="s">
        <v>7</v>
      </c>
      <c r="C65">
        <v>4</v>
      </c>
      <c r="D65" s="1">
        <v>75</v>
      </c>
      <c r="E65" s="1">
        <f t="shared" si="1"/>
        <v>59.999999999999993</v>
      </c>
      <c r="F65">
        <v>2.1800000000000002</v>
      </c>
      <c r="G65">
        <v>112</v>
      </c>
      <c r="H65">
        <v>1.1499999999999999</v>
      </c>
      <c r="I65" s="2">
        <v>3.87</v>
      </c>
      <c r="J65">
        <v>35</v>
      </c>
      <c r="K65" t="s">
        <v>62</v>
      </c>
      <c r="L65" s="21">
        <v>0.05</v>
      </c>
      <c r="M65" s="21">
        <f>14.2*10</f>
        <v>142</v>
      </c>
      <c r="N65" s="21">
        <v>0.15</v>
      </c>
      <c r="O65" s="4">
        <v>4.8439999999999994</v>
      </c>
      <c r="P65">
        <v>0.7</v>
      </c>
    </row>
    <row r="66" spans="1:16" x14ac:dyDescent="0.25">
      <c r="A66">
        <v>2</v>
      </c>
      <c r="B66" t="s">
        <v>9</v>
      </c>
      <c r="C66">
        <v>1</v>
      </c>
      <c r="D66" s="1">
        <v>0</v>
      </c>
      <c r="E66" s="1">
        <f t="shared" ref="E66:E97" si="2">ASIN(SQRT(D66/100))*180/PI()</f>
        <v>0</v>
      </c>
      <c r="F66">
        <v>0.05</v>
      </c>
      <c r="G66">
        <v>186</v>
      </c>
      <c r="H66">
        <v>0.21</v>
      </c>
      <c r="I66" s="2">
        <v>4.09</v>
      </c>
      <c r="J66">
        <v>25</v>
      </c>
      <c r="K66" t="s">
        <v>62</v>
      </c>
      <c r="L66" s="21">
        <v>0.05</v>
      </c>
      <c r="M66" s="21">
        <f>18*10</f>
        <v>180</v>
      </c>
      <c r="N66" s="21">
        <v>0.19</v>
      </c>
      <c r="O66" s="4">
        <v>4.6780000000000008</v>
      </c>
      <c r="P66">
        <v>0.56999999999999995</v>
      </c>
    </row>
    <row r="67" spans="1:16" x14ac:dyDescent="0.25">
      <c r="A67">
        <v>2</v>
      </c>
      <c r="B67" t="s">
        <v>9</v>
      </c>
      <c r="C67">
        <v>2</v>
      </c>
      <c r="D67" s="1">
        <v>15</v>
      </c>
      <c r="E67" s="1">
        <f t="shared" si="2"/>
        <v>22.786497999597149</v>
      </c>
      <c r="F67">
        <v>0.08</v>
      </c>
      <c r="G67">
        <v>182</v>
      </c>
      <c r="H67">
        <v>0.28999999999999998</v>
      </c>
      <c r="I67" s="2">
        <v>4.05</v>
      </c>
      <c r="J67">
        <v>25</v>
      </c>
      <c r="K67" t="s">
        <v>62</v>
      </c>
      <c r="L67" s="21">
        <v>0.05</v>
      </c>
      <c r="M67" s="21">
        <f>17.4*10</f>
        <v>174</v>
      </c>
      <c r="N67" s="21">
        <v>0.21</v>
      </c>
      <c r="O67" s="4">
        <v>4.6879999999999997</v>
      </c>
      <c r="P67">
        <v>0.62</v>
      </c>
    </row>
    <row r="68" spans="1:16" x14ac:dyDescent="0.25">
      <c r="A68">
        <v>2</v>
      </c>
      <c r="B68" t="s">
        <v>9</v>
      </c>
      <c r="C68">
        <v>3</v>
      </c>
      <c r="D68" s="1">
        <v>15</v>
      </c>
      <c r="E68" s="1">
        <f t="shared" si="2"/>
        <v>22.786497999597149</v>
      </c>
      <c r="F68">
        <v>0.05</v>
      </c>
      <c r="G68">
        <v>193</v>
      </c>
      <c r="H68">
        <v>0.31</v>
      </c>
      <c r="I68" s="2">
        <v>3.98</v>
      </c>
      <c r="J68">
        <v>25</v>
      </c>
      <c r="K68" t="s">
        <v>62</v>
      </c>
      <c r="L68" s="21">
        <v>0.05</v>
      </c>
      <c r="M68" s="21">
        <f>14.2*10</f>
        <v>142</v>
      </c>
      <c r="N68" s="21">
        <v>0.09</v>
      </c>
      <c r="O68" s="4">
        <v>4.9480000000000004</v>
      </c>
      <c r="P68">
        <v>0.85</v>
      </c>
    </row>
    <row r="69" spans="1:16" x14ac:dyDescent="0.25">
      <c r="A69">
        <v>2</v>
      </c>
      <c r="B69" t="s">
        <v>9</v>
      </c>
      <c r="C69">
        <v>4</v>
      </c>
      <c r="D69" s="1">
        <v>25</v>
      </c>
      <c r="E69" s="1">
        <f t="shared" si="2"/>
        <v>30.000000000000004</v>
      </c>
      <c r="F69">
        <v>0.05</v>
      </c>
      <c r="G69">
        <v>181</v>
      </c>
      <c r="H69">
        <v>0.25</v>
      </c>
      <c r="I69" s="2">
        <v>4.0999999999999996</v>
      </c>
      <c r="J69">
        <v>25</v>
      </c>
      <c r="K69" t="s">
        <v>62</v>
      </c>
      <c r="L69" s="21">
        <v>0.05</v>
      </c>
      <c r="M69" s="21">
        <f>14.2*10</f>
        <v>142</v>
      </c>
      <c r="N69" s="21">
        <v>0.15</v>
      </c>
      <c r="O69" s="4">
        <v>4.8439999999999994</v>
      </c>
      <c r="P69">
        <v>0.7</v>
      </c>
    </row>
    <row r="70" spans="1:16" x14ac:dyDescent="0.25">
      <c r="A70">
        <v>2</v>
      </c>
      <c r="B70" t="s">
        <v>10</v>
      </c>
      <c r="C70">
        <v>1</v>
      </c>
      <c r="D70" s="1">
        <v>5</v>
      </c>
      <c r="E70" s="1">
        <f t="shared" si="2"/>
        <v>12.920966381583565</v>
      </c>
      <c r="F70">
        <v>0.05</v>
      </c>
      <c r="G70">
        <v>176</v>
      </c>
      <c r="H70">
        <v>0.27</v>
      </c>
      <c r="I70" s="2">
        <v>3.91</v>
      </c>
      <c r="J70">
        <v>20</v>
      </c>
      <c r="K70" t="s">
        <v>62</v>
      </c>
      <c r="L70" s="21">
        <v>0.05</v>
      </c>
      <c r="M70" s="21">
        <f>18*10</f>
        <v>180</v>
      </c>
      <c r="N70" s="21">
        <v>0.19</v>
      </c>
      <c r="O70" s="4">
        <v>4.6780000000000008</v>
      </c>
      <c r="P70">
        <v>0.56999999999999995</v>
      </c>
    </row>
    <row r="71" spans="1:16" x14ac:dyDescent="0.25">
      <c r="A71">
        <v>2</v>
      </c>
      <c r="B71" t="s">
        <v>10</v>
      </c>
      <c r="C71">
        <v>2</v>
      </c>
      <c r="D71" s="1">
        <v>10</v>
      </c>
      <c r="E71" s="1">
        <f t="shared" si="2"/>
        <v>18.434948822922014</v>
      </c>
      <c r="F71">
        <v>0.05</v>
      </c>
      <c r="G71">
        <v>158</v>
      </c>
      <c r="H71">
        <v>0.42</v>
      </c>
      <c r="I71" s="2">
        <v>4.03</v>
      </c>
      <c r="J71">
        <v>20</v>
      </c>
      <c r="K71" t="s">
        <v>62</v>
      </c>
      <c r="L71" s="21">
        <v>0.05</v>
      </c>
      <c r="M71" s="21">
        <f>17.4*10</f>
        <v>174</v>
      </c>
      <c r="N71" s="21">
        <v>0.21</v>
      </c>
      <c r="O71" s="4">
        <v>4.6879999999999997</v>
      </c>
      <c r="P71">
        <v>0.62</v>
      </c>
    </row>
    <row r="72" spans="1:16" x14ac:dyDescent="0.25">
      <c r="A72">
        <v>2</v>
      </c>
      <c r="B72" t="s">
        <v>10</v>
      </c>
      <c r="C72">
        <v>3</v>
      </c>
      <c r="D72" s="1">
        <v>30</v>
      </c>
      <c r="E72" s="1">
        <f t="shared" si="2"/>
        <v>33.210910760899083</v>
      </c>
      <c r="F72">
        <v>0.06</v>
      </c>
      <c r="G72">
        <v>168</v>
      </c>
      <c r="H72">
        <v>0.77</v>
      </c>
      <c r="I72" s="2">
        <v>4.07</v>
      </c>
      <c r="J72">
        <v>20</v>
      </c>
      <c r="K72" t="s">
        <v>62</v>
      </c>
      <c r="L72" s="21">
        <v>0.05</v>
      </c>
      <c r="M72" s="21">
        <f>14.2*10</f>
        <v>142</v>
      </c>
      <c r="N72" s="21">
        <v>0.09</v>
      </c>
      <c r="O72" s="4">
        <v>4.9480000000000004</v>
      </c>
      <c r="P72">
        <v>0.85</v>
      </c>
    </row>
    <row r="73" spans="1:16" x14ac:dyDescent="0.25">
      <c r="A73">
        <v>2</v>
      </c>
      <c r="B73" t="s">
        <v>10</v>
      </c>
      <c r="C73">
        <v>4</v>
      </c>
      <c r="D73" s="1">
        <v>35</v>
      </c>
      <c r="E73" s="1">
        <f t="shared" si="2"/>
        <v>36.271198438138953</v>
      </c>
      <c r="F73">
        <v>0.05</v>
      </c>
      <c r="G73">
        <v>156</v>
      </c>
      <c r="H73">
        <v>0.53</v>
      </c>
      <c r="I73" s="2">
        <v>6.56</v>
      </c>
      <c r="J73">
        <v>20</v>
      </c>
      <c r="K73" t="s">
        <v>62</v>
      </c>
      <c r="L73" s="21">
        <v>0.05</v>
      </c>
      <c r="M73" s="21">
        <f>14.2*10</f>
        <v>142</v>
      </c>
      <c r="N73" s="21">
        <v>0.15</v>
      </c>
      <c r="O73" s="4">
        <v>4.8439999999999994</v>
      </c>
      <c r="P73">
        <v>0.7</v>
      </c>
    </row>
    <row r="74" spans="1:16" x14ac:dyDescent="0.25">
      <c r="A74">
        <v>2</v>
      </c>
      <c r="B74" t="s">
        <v>11</v>
      </c>
      <c r="C74">
        <v>1</v>
      </c>
      <c r="D74" s="1">
        <v>50</v>
      </c>
      <c r="E74" s="1">
        <f t="shared" si="2"/>
        <v>45.000000000000007</v>
      </c>
      <c r="F74">
        <v>0.15</v>
      </c>
      <c r="G74">
        <v>180</v>
      </c>
      <c r="H74">
        <v>0.15</v>
      </c>
      <c r="I74" s="2">
        <v>3.81</v>
      </c>
      <c r="J74">
        <v>35</v>
      </c>
      <c r="K74" t="s">
        <v>62</v>
      </c>
      <c r="L74" s="21">
        <v>0.05</v>
      </c>
      <c r="M74" s="21">
        <f>18*10</f>
        <v>180</v>
      </c>
      <c r="N74" s="21">
        <v>0.19</v>
      </c>
      <c r="O74" s="4">
        <v>4.6780000000000008</v>
      </c>
      <c r="P74">
        <v>0.56999999999999995</v>
      </c>
    </row>
    <row r="75" spans="1:16" x14ac:dyDescent="0.25">
      <c r="A75">
        <v>2</v>
      </c>
      <c r="B75" t="s">
        <v>11</v>
      </c>
      <c r="C75">
        <v>2</v>
      </c>
      <c r="D75" s="1">
        <v>70</v>
      </c>
      <c r="E75" s="1">
        <f t="shared" si="2"/>
        <v>56.789089239100917</v>
      </c>
      <c r="F75">
        <v>0.83</v>
      </c>
      <c r="G75">
        <v>202</v>
      </c>
      <c r="H75">
        <v>0.39</v>
      </c>
      <c r="I75" s="2">
        <v>3.9</v>
      </c>
      <c r="J75">
        <v>35</v>
      </c>
      <c r="K75" t="s">
        <v>62</v>
      </c>
      <c r="L75" s="21">
        <v>0.05</v>
      </c>
      <c r="M75" s="21">
        <f>17.4*10</f>
        <v>174</v>
      </c>
      <c r="N75" s="21">
        <v>0.21</v>
      </c>
      <c r="O75" s="4">
        <v>4.6879999999999997</v>
      </c>
      <c r="P75">
        <v>0.62</v>
      </c>
    </row>
    <row r="76" spans="1:16" x14ac:dyDescent="0.25">
      <c r="A76">
        <v>2</v>
      </c>
      <c r="B76" t="s">
        <v>11</v>
      </c>
      <c r="C76">
        <v>3</v>
      </c>
      <c r="D76" s="1">
        <v>45</v>
      </c>
      <c r="E76" s="1">
        <f t="shared" si="2"/>
        <v>42.130414761366609</v>
      </c>
      <c r="F76">
        <v>0.48</v>
      </c>
      <c r="G76">
        <v>193</v>
      </c>
      <c r="H76">
        <v>0.44</v>
      </c>
      <c r="I76" s="2">
        <v>4.1399999999999997</v>
      </c>
      <c r="J76">
        <v>35</v>
      </c>
      <c r="K76" t="s">
        <v>62</v>
      </c>
      <c r="L76" s="21">
        <v>0.05</v>
      </c>
      <c r="M76" s="21">
        <f>14.2*10</f>
        <v>142</v>
      </c>
      <c r="N76" s="21">
        <v>0.09</v>
      </c>
      <c r="O76" s="4">
        <v>4.9480000000000004</v>
      </c>
      <c r="P76">
        <v>0.85</v>
      </c>
    </row>
    <row r="77" spans="1:16" x14ac:dyDescent="0.25">
      <c r="A77">
        <v>2</v>
      </c>
      <c r="B77" t="s">
        <v>11</v>
      </c>
      <c r="C77">
        <v>4</v>
      </c>
      <c r="D77" s="1">
        <v>60</v>
      </c>
      <c r="E77" s="1">
        <f t="shared" si="2"/>
        <v>50.768479516407751</v>
      </c>
      <c r="F77">
        <v>0.92</v>
      </c>
      <c r="G77">
        <v>172</v>
      </c>
      <c r="H77">
        <v>0.42</v>
      </c>
      <c r="I77" s="2">
        <v>3.65</v>
      </c>
      <c r="J77">
        <v>35</v>
      </c>
      <c r="K77" t="s">
        <v>62</v>
      </c>
      <c r="L77" s="21">
        <v>0.05</v>
      </c>
      <c r="M77" s="21">
        <f>14.2*10</f>
        <v>142</v>
      </c>
      <c r="N77" s="21">
        <v>0.15</v>
      </c>
      <c r="O77" s="4">
        <v>4.8439999999999994</v>
      </c>
      <c r="P77">
        <v>0.7</v>
      </c>
    </row>
    <row r="78" spans="1:16" x14ac:dyDescent="0.25">
      <c r="A78">
        <v>2</v>
      </c>
      <c r="B78" t="s">
        <v>12</v>
      </c>
      <c r="C78">
        <v>1</v>
      </c>
      <c r="D78" s="1">
        <v>75</v>
      </c>
      <c r="E78" s="1">
        <f t="shared" si="2"/>
        <v>59.999999999999993</v>
      </c>
      <c r="F78">
        <v>2.13</v>
      </c>
      <c r="G78">
        <v>164</v>
      </c>
      <c r="H78">
        <v>1.03</v>
      </c>
      <c r="I78" s="2">
        <v>3.99</v>
      </c>
      <c r="J78">
        <v>30</v>
      </c>
      <c r="K78" t="s">
        <v>62</v>
      </c>
      <c r="L78" s="21">
        <v>0.05</v>
      </c>
      <c r="M78" s="21">
        <f>18*10</f>
        <v>180</v>
      </c>
      <c r="N78" s="21">
        <v>0.19</v>
      </c>
      <c r="O78" s="4">
        <v>4.6780000000000008</v>
      </c>
      <c r="P78">
        <v>0.56999999999999995</v>
      </c>
    </row>
    <row r="79" spans="1:16" x14ac:dyDescent="0.25">
      <c r="A79">
        <v>2</v>
      </c>
      <c r="B79" t="s">
        <v>12</v>
      </c>
      <c r="C79">
        <v>2</v>
      </c>
      <c r="D79" s="1">
        <v>95</v>
      </c>
      <c r="E79" s="1">
        <f t="shared" si="2"/>
        <v>77.079033618416432</v>
      </c>
      <c r="F79">
        <v>2.4</v>
      </c>
      <c r="G79">
        <v>178</v>
      </c>
      <c r="H79">
        <v>1.05</v>
      </c>
      <c r="I79" s="2">
        <v>3.73</v>
      </c>
      <c r="J79">
        <v>30</v>
      </c>
      <c r="K79" t="s">
        <v>62</v>
      </c>
      <c r="L79" s="21">
        <v>0.05</v>
      </c>
      <c r="M79" s="21">
        <f>17.4*10</f>
        <v>174</v>
      </c>
      <c r="N79" s="21">
        <v>0.21</v>
      </c>
      <c r="O79" s="4">
        <v>4.6879999999999997</v>
      </c>
      <c r="P79">
        <v>0.62</v>
      </c>
    </row>
    <row r="80" spans="1:16" x14ac:dyDescent="0.25">
      <c r="A80">
        <v>2</v>
      </c>
      <c r="B80" t="s">
        <v>12</v>
      </c>
      <c r="C80">
        <v>3</v>
      </c>
      <c r="D80" s="1">
        <v>65</v>
      </c>
      <c r="E80" s="1">
        <f t="shared" si="2"/>
        <v>53.728801561861061</v>
      </c>
      <c r="F80">
        <v>2.4</v>
      </c>
      <c r="G80">
        <v>148</v>
      </c>
      <c r="H80">
        <v>1.04</v>
      </c>
      <c r="I80" s="2">
        <v>3.65</v>
      </c>
      <c r="J80">
        <v>30</v>
      </c>
      <c r="K80" t="s">
        <v>62</v>
      </c>
      <c r="L80" s="21">
        <v>0.05</v>
      </c>
      <c r="M80" s="21">
        <f>14.2*10</f>
        <v>142</v>
      </c>
      <c r="N80" s="21">
        <v>0.09</v>
      </c>
      <c r="O80" s="4">
        <v>4.9480000000000004</v>
      </c>
      <c r="P80">
        <v>0.85</v>
      </c>
    </row>
    <row r="81" spans="1:16" x14ac:dyDescent="0.25">
      <c r="A81">
        <v>2</v>
      </c>
      <c r="B81" t="s">
        <v>12</v>
      </c>
      <c r="C81">
        <v>4</v>
      </c>
      <c r="D81" s="1">
        <v>70</v>
      </c>
      <c r="E81" s="1">
        <f t="shared" si="2"/>
        <v>56.789089239100917</v>
      </c>
      <c r="F81">
        <v>2.2599999999999998</v>
      </c>
      <c r="G81">
        <v>158</v>
      </c>
      <c r="H81">
        <v>1.04</v>
      </c>
      <c r="I81" s="2">
        <v>3.87</v>
      </c>
      <c r="J81">
        <v>30</v>
      </c>
      <c r="K81" t="s">
        <v>62</v>
      </c>
      <c r="L81" s="21">
        <v>0.05</v>
      </c>
      <c r="M81" s="21">
        <f>14.2*10</f>
        <v>142</v>
      </c>
      <c r="N81" s="21">
        <v>0.15</v>
      </c>
      <c r="O81" s="4">
        <v>4.8439999999999994</v>
      </c>
      <c r="P81">
        <v>0.7</v>
      </c>
    </row>
    <row r="82" spans="1:16" x14ac:dyDescent="0.25">
      <c r="A82">
        <v>2</v>
      </c>
      <c r="B82" t="s">
        <v>13</v>
      </c>
      <c r="C82">
        <v>1</v>
      </c>
      <c r="D82" s="1">
        <v>35</v>
      </c>
      <c r="E82" s="1">
        <f t="shared" si="2"/>
        <v>36.271198438138953</v>
      </c>
      <c r="F82">
        <v>0.16</v>
      </c>
      <c r="G82">
        <v>186</v>
      </c>
      <c r="H82">
        <v>0.54</v>
      </c>
      <c r="I82" s="2">
        <v>3.99</v>
      </c>
      <c r="J82">
        <v>35</v>
      </c>
      <c r="K82" t="s">
        <v>62</v>
      </c>
      <c r="L82" s="21">
        <v>0.05</v>
      </c>
      <c r="M82" s="21">
        <f>18*10</f>
        <v>180</v>
      </c>
      <c r="N82" s="21">
        <v>0.19</v>
      </c>
      <c r="O82" s="4">
        <v>4.6780000000000008</v>
      </c>
      <c r="P82">
        <v>0.56999999999999995</v>
      </c>
    </row>
    <row r="83" spans="1:16" x14ac:dyDescent="0.25">
      <c r="A83">
        <v>2</v>
      </c>
      <c r="B83" t="s">
        <v>13</v>
      </c>
      <c r="C83">
        <v>2</v>
      </c>
      <c r="D83" s="1">
        <v>40</v>
      </c>
      <c r="E83" s="1">
        <f t="shared" si="2"/>
        <v>39.231520483592263</v>
      </c>
      <c r="F83">
        <v>0.49</v>
      </c>
      <c r="G83">
        <v>172</v>
      </c>
      <c r="H83">
        <v>0.65</v>
      </c>
      <c r="I83" s="2">
        <v>3.52</v>
      </c>
      <c r="J83">
        <v>35</v>
      </c>
      <c r="K83" t="s">
        <v>62</v>
      </c>
      <c r="L83" s="21">
        <v>0.05</v>
      </c>
      <c r="M83" s="21">
        <f>17.4*10</f>
        <v>174</v>
      </c>
      <c r="N83" s="21">
        <v>0.21</v>
      </c>
      <c r="O83" s="4">
        <v>4.6879999999999997</v>
      </c>
      <c r="P83">
        <v>0.62</v>
      </c>
    </row>
    <row r="84" spans="1:16" x14ac:dyDescent="0.25">
      <c r="A84">
        <v>2</v>
      </c>
      <c r="B84" t="s">
        <v>13</v>
      </c>
      <c r="C84">
        <v>3</v>
      </c>
      <c r="D84" s="1">
        <v>10</v>
      </c>
      <c r="E84" s="1">
        <f t="shared" si="2"/>
        <v>18.434948822922014</v>
      </c>
      <c r="F84">
        <v>0.15</v>
      </c>
      <c r="G84">
        <v>179</v>
      </c>
      <c r="H84">
        <v>0.45</v>
      </c>
      <c r="I84" s="2">
        <v>3.85</v>
      </c>
      <c r="J84">
        <v>35</v>
      </c>
      <c r="K84" t="s">
        <v>62</v>
      </c>
      <c r="L84" s="21">
        <v>0.05</v>
      </c>
      <c r="M84" s="21">
        <f>14.2*10</f>
        <v>142</v>
      </c>
      <c r="N84" s="21">
        <v>0.09</v>
      </c>
      <c r="O84" s="4">
        <v>4.9480000000000004</v>
      </c>
      <c r="P84">
        <v>0.85</v>
      </c>
    </row>
    <row r="85" spans="1:16" x14ac:dyDescent="0.25">
      <c r="A85">
        <v>2</v>
      </c>
      <c r="B85" t="s">
        <v>13</v>
      </c>
      <c r="C85">
        <v>4</v>
      </c>
      <c r="D85" s="1">
        <v>30</v>
      </c>
      <c r="E85" s="1">
        <f t="shared" si="2"/>
        <v>33.210910760899083</v>
      </c>
      <c r="F85">
        <v>0.21</v>
      </c>
      <c r="G85">
        <v>185</v>
      </c>
      <c r="H85">
        <v>0.68</v>
      </c>
      <c r="I85" s="2">
        <v>3.73</v>
      </c>
      <c r="J85">
        <v>35</v>
      </c>
      <c r="K85" t="s">
        <v>62</v>
      </c>
      <c r="L85" s="21">
        <v>0.05</v>
      </c>
      <c r="M85" s="21">
        <f>14.2*10</f>
        <v>142</v>
      </c>
      <c r="N85" s="21">
        <v>0.15</v>
      </c>
      <c r="O85" s="4">
        <v>4.8439999999999994</v>
      </c>
      <c r="P85">
        <v>0.7</v>
      </c>
    </row>
    <row r="86" spans="1:16" x14ac:dyDescent="0.25">
      <c r="A86">
        <v>2</v>
      </c>
      <c r="B86" t="s">
        <v>14</v>
      </c>
      <c r="C86">
        <v>1</v>
      </c>
      <c r="D86" s="1">
        <v>40</v>
      </c>
      <c r="E86" s="1">
        <f t="shared" si="2"/>
        <v>39.231520483592263</v>
      </c>
      <c r="F86">
        <v>0.2</v>
      </c>
      <c r="G86">
        <v>158</v>
      </c>
      <c r="H86">
        <v>0.87</v>
      </c>
      <c r="I86" s="2">
        <v>3.96</v>
      </c>
      <c r="J86">
        <v>35</v>
      </c>
      <c r="K86" t="s">
        <v>62</v>
      </c>
      <c r="L86" s="21">
        <v>0.05</v>
      </c>
      <c r="M86" s="21">
        <f>18*10</f>
        <v>180</v>
      </c>
      <c r="N86" s="21">
        <v>0.19</v>
      </c>
      <c r="O86" s="4">
        <v>4.6780000000000008</v>
      </c>
      <c r="P86">
        <v>0.56999999999999995</v>
      </c>
    </row>
    <row r="87" spans="1:16" x14ac:dyDescent="0.25">
      <c r="A87">
        <v>2</v>
      </c>
      <c r="B87" t="s">
        <v>14</v>
      </c>
      <c r="C87">
        <v>2</v>
      </c>
      <c r="D87" s="1">
        <v>30</v>
      </c>
      <c r="E87" s="1">
        <f t="shared" si="2"/>
        <v>33.210910760899083</v>
      </c>
      <c r="F87">
        <v>0.24</v>
      </c>
      <c r="G87">
        <v>186</v>
      </c>
      <c r="H87">
        <v>0.93</v>
      </c>
      <c r="I87" s="2">
        <v>3.24</v>
      </c>
      <c r="J87">
        <v>35</v>
      </c>
      <c r="K87" t="s">
        <v>62</v>
      </c>
      <c r="L87" s="21">
        <v>0.05</v>
      </c>
      <c r="M87" s="21">
        <f>17.4*10</f>
        <v>174</v>
      </c>
      <c r="N87" s="21">
        <v>0.21</v>
      </c>
      <c r="O87" s="4">
        <v>4.6879999999999997</v>
      </c>
      <c r="P87">
        <v>0.62</v>
      </c>
    </row>
    <row r="88" spans="1:16" x14ac:dyDescent="0.25">
      <c r="A88">
        <v>2</v>
      </c>
      <c r="B88" t="s">
        <v>14</v>
      </c>
      <c r="C88">
        <v>3</v>
      </c>
      <c r="D88" s="1">
        <v>10</v>
      </c>
      <c r="E88" s="1">
        <f t="shared" si="2"/>
        <v>18.434948822922014</v>
      </c>
      <c r="F88">
        <v>0.16</v>
      </c>
      <c r="G88">
        <v>158</v>
      </c>
      <c r="H88">
        <v>0.79</v>
      </c>
      <c r="I88" s="2">
        <v>4.12</v>
      </c>
      <c r="J88">
        <v>35</v>
      </c>
      <c r="K88" t="s">
        <v>62</v>
      </c>
      <c r="L88" s="21">
        <v>0.05</v>
      </c>
      <c r="M88" s="21">
        <f>14.2*10</f>
        <v>142</v>
      </c>
      <c r="N88" s="21">
        <v>0.09</v>
      </c>
      <c r="O88" s="4">
        <v>4.9480000000000004</v>
      </c>
      <c r="P88">
        <v>0.85</v>
      </c>
    </row>
    <row r="89" spans="1:16" x14ac:dyDescent="0.25">
      <c r="A89">
        <v>2</v>
      </c>
      <c r="B89" t="s">
        <v>14</v>
      </c>
      <c r="C89">
        <v>4</v>
      </c>
      <c r="D89" s="1">
        <v>30</v>
      </c>
      <c r="E89" s="1">
        <f t="shared" si="2"/>
        <v>33.210910760899083</v>
      </c>
      <c r="F89">
        <v>0.22</v>
      </c>
      <c r="G89">
        <v>144</v>
      </c>
      <c r="H89">
        <v>0.88</v>
      </c>
      <c r="I89" s="2">
        <v>3.74</v>
      </c>
      <c r="J89">
        <v>35</v>
      </c>
      <c r="K89" t="s">
        <v>62</v>
      </c>
      <c r="L89" s="21">
        <v>0.05</v>
      </c>
      <c r="M89" s="21">
        <f>14.2*10</f>
        <v>142</v>
      </c>
      <c r="N89" s="21">
        <v>0.15</v>
      </c>
      <c r="O89" s="4">
        <v>4.8439999999999994</v>
      </c>
      <c r="P89">
        <v>0.7</v>
      </c>
    </row>
    <row r="90" spans="1:16" x14ac:dyDescent="0.25">
      <c r="A90">
        <v>3</v>
      </c>
      <c r="B90" t="s">
        <v>4</v>
      </c>
      <c r="C90">
        <v>1</v>
      </c>
      <c r="D90" s="1">
        <v>35</v>
      </c>
      <c r="E90" s="1">
        <f t="shared" si="2"/>
        <v>36.271198438138953</v>
      </c>
      <c r="F90">
        <v>0.54</v>
      </c>
      <c r="G90">
        <v>173</v>
      </c>
      <c r="H90">
        <v>0</v>
      </c>
      <c r="I90" s="2">
        <v>3.27</v>
      </c>
      <c r="J90">
        <v>23.75</v>
      </c>
      <c r="K90" t="s">
        <v>63</v>
      </c>
      <c r="L90" s="21">
        <v>0.6</v>
      </c>
      <c r="M90" s="21">
        <v>180</v>
      </c>
      <c r="N90" s="21">
        <v>0.17</v>
      </c>
      <c r="O90">
        <v>3.2850000000000001</v>
      </c>
      <c r="P90">
        <v>3.0714999999999999</v>
      </c>
    </row>
    <row r="91" spans="1:16" x14ac:dyDescent="0.25">
      <c r="A91">
        <v>3</v>
      </c>
      <c r="B91" t="s">
        <v>4</v>
      </c>
      <c r="C91">
        <v>2</v>
      </c>
      <c r="D91" s="1">
        <v>41.666666666666671</v>
      </c>
      <c r="E91" s="1">
        <f t="shared" si="2"/>
        <v>40.202965886569778</v>
      </c>
      <c r="F91">
        <v>0.6</v>
      </c>
      <c r="G91">
        <v>193.5</v>
      </c>
      <c r="H91">
        <v>0</v>
      </c>
      <c r="I91" s="2">
        <v>3.42</v>
      </c>
      <c r="J91">
        <v>23.75</v>
      </c>
      <c r="K91" t="s">
        <v>63</v>
      </c>
      <c r="L91" s="21">
        <v>0.43</v>
      </c>
      <c r="M91" s="21">
        <v>200.9</v>
      </c>
      <c r="N91" s="21">
        <v>0.03</v>
      </c>
      <c r="O91">
        <v>3.49</v>
      </c>
      <c r="P91">
        <v>2.7244999999999999</v>
      </c>
    </row>
    <row r="92" spans="1:16" x14ac:dyDescent="0.25">
      <c r="A92">
        <v>3</v>
      </c>
      <c r="B92" t="s">
        <v>4</v>
      </c>
      <c r="C92">
        <v>3</v>
      </c>
      <c r="D92" s="1">
        <v>36.538461538461533</v>
      </c>
      <c r="E92" s="1">
        <f t="shared" si="2"/>
        <v>37.190750862175719</v>
      </c>
      <c r="F92">
        <v>0.65</v>
      </c>
      <c r="G92">
        <v>179.4</v>
      </c>
      <c r="H92">
        <v>0</v>
      </c>
      <c r="I92" s="2">
        <v>3.25</v>
      </c>
      <c r="J92">
        <v>23.75</v>
      </c>
      <c r="K92" t="s">
        <v>63</v>
      </c>
      <c r="L92" s="21">
        <v>0.36</v>
      </c>
      <c r="M92" s="21">
        <v>221.15</v>
      </c>
      <c r="N92" s="21">
        <v>0</v>
      </c>
      <c r="O92">
        <v>3.6950000000000003</v>
      </c>
      <c r="P92">
        <v>2.2069999999999999</v>
      </c>
    </row>
    <row r="93" spans="1:16" x14ac:dyDescent="0.25">
      <c r="A93">
        <v>3</v>
      </c>
      <c r="B93" t="s">
        <v>5</v>
      </c>
      <c r="C93">
        <v>1</v>
      </c>
      <c r="D93" s="1">
        <v>30.357142857142851</v>
      </c>
      <c r="E93" s="1">
        <f t="shared" si="2"/>
        <v>33.433801800351063</v>
      </c>
      <c r="F93">
        <v>0.44</v>
      </c>
      <c r="G93">
        <v>197.4</v>
      </c>
      <c r="H93">
        <v>1.02</v>
      </c>
      <c r="I93" s="2">
        <v>3.46</v>
      </c>
      <c r="J93">
        <v>23.75</v>
      </c>
      <c r="K93" t="s">
        <v>63</v>
      </c>
      <c r="L93" s="21">
        <v>0.6</v>
      </c>
      <c r="M93" s="21">
        <v>180</v>
      </c>
      <c r="N93" s="21">
        <v>0.17</v>
      </c>
      <c r="O93">
        <v>3.2850000000000001</v>
      </c>
      <c r="P93">
        <v>3.0714999999999999</v>
      </c>
    </row>
    <row r="94" spans="1:16" x14ac:dyDescent="0.25">
      <c r="A94">
        <v>3</v>
      </c>
      <c r="B94" t="s">
        <v>5</v>
      </c>
      <c r="C94">
        <v>2</v>
      </c>
      <c r="D94" s="1">
        <v>26.666666666666671</v>
      </c>
      <c r="E94" s="1">
        <f t="shared" si="2"/>
        <v>31.090930357673042</v>
      </c>
      <c r="F94">
        <v>0.3</v>
      </c>
      <c r="G94">
        <v>188.5</v>
      </c>
      <c r="H94">
        <v>0.7</v>
      </c>
      <c r="I94" s="2">
        <v>3.41</v>
      </c>
      <c r="J94">
        <v>23.75</v>
      </c>
      <c r="K94" t="s">
        <v>63</v>
      </c>
      <c r="L94" s="21">
        <v>0.43</v>
      </c>
      <c r="M94" s="21">
        <v>200.9</v>
      </c>
      <c r="N94" s="21">
        <v>0.03</v>
      </c>
      <c r="O94">
        <v>3.49</v>
      </c>
      <c r="P94">
        <v>2.7244999999999999</v>
      </c>
    </row>
    <row r="95" spans="1:16" x14ac:dyDescent="0.25">
      <c r="A95">
        <v>3</v>
      </c>
      <c r="B95" t="s">
        <v>5</v>
      </c>
      <c r="C95">
        <v>3</v>
      </c>
      <c r="D95" s="1">
        <v>31.666666666666661</v>
      </c>
      <c r="E95" s="1">
        <f t="shared" si="2"/>
        <v>34.244905866556259</v>
      </c>
      <c r="F95">
        <v>0.33</v>
      </c>
      <c r="G95">
        <v>183.8</v>
      </c>
      <c r="H95">
        <v>0.14000000000000001</v>
      </c>
      <c r="I95" s="2">
        <v>3.77</v>
      </c>
      <c r="J95">
        <v>23.75</v>
      </c>
      <c r="K95" t="s">
        <v>63</v>
      </c>
      <c r="L95" s="21">
        <v>0.36</v>
      </c>
      <c r="M95" s="21">
        <v>221.15</v>
      </c>
      <c r="N95" s="21">
        <v>0</v>
      </c>
      <c r="O95">
        <v>3.6950000000000003</v>
      </c>
      <c r="P95">
        <v>2.2069999999999999</v>
      </c>
    </row>
    <row r="96" spans="1:16" x14ac:dyDescent="0.25">
      <c r="A96">
        <v>3</v>
      </c>
      <c r="B96" t="s">
        <v>17</v>
      </c>
      <c r="C96">
        <v>1</v>
      </c>
      <c r="D96" s="1">
        <v>35</v>
      </c>
      <c r="E96" s="1">
        <f t="shared" si="2"/>
        <v>36.271198438138953</v>
      </c>
      <c r="F96">
        <v>0.69</v>
      </c>
      <c r="G96">
        <v>187.5</v>
      </c>
      <c r="H96">
        <v>0.16</v>
      </c>
      <c r="I96" s="2">
        <v>3.31</v>
      </c>
      <c r="J96">
        <v>23.75</v>
      </c>
      <c r="K96" t="s">
        <v>63</v>
      </c>
      <c r="L96" s="21">
        <v>0.6</v>
      </c>
      <c r="M96" s="21">
        <v>180</v>
      </c>
      <c r="N96" s="21">
        <v>0.17</v>
      </c>
      <c r="O96">
        <v>3.2850000000000001</v>
      </c>
      <c r="P96">
        <v>3.0714999999999999</v>
      </c>
    </row>
    <row r="97" spans="1:16" x14ac:dyDescent="0.25">
      <c r="A97">
        <v>3</v>
      </c>
      <c r="B97" t="s">
        <v>17</v>
      </c>
      <c r="C97">
        <v>2</v>
      </c>
      <c r="D97" s="1">
        <v>31.666666666666661</v>
      </c>
      <c r="E97" s="1">
        <f t="shared" si="2"/>
        <v>34.244905866556259</v>
      </c>
      <c r="F97">
        <v>0.56000000000000005</v>
      </c>
      <c r="G97">
        <v>158.80000000000001</v>
      </c>
      <c r="H97">
        <v>0.18</v>
      </c>
      <c r="I97" s="2">
        <v>3.23</v>
      </c>
      <c r="J97">
        <v>23.75</v>
      </c>
      <c r="K97" t="s">
        <v>63</v>
      </c>
      <c r="L97" s="21">
        <v>0.43</v>
      </c>
      <c r="M97" s="21">
        <v>200.9</v>
      </c>
      <c r="N97" s="21">
        <v>0.03</v>
      </c>
      <c r="O97">
        <v>3.49</v>
      </c>
      <c r="P97">
        <v>2.7244999999999999</v>
      </c>
    </row>
    <row r="98" spans="1:16" x14ac:dyDescent="0.25">
      <c r="A98">
        <v>3</v>
      </c>
      <c r="B98" t="s">
        <v>17</v>
      </c>
      <c r="C98">
        <v>3</v>
      </c>
      <c r="D98" s="1">
        <v>41.666666666666671</v>
      </c>
      <c r="E98" s="1">
        <f t="shared" ref="E98:E129" si="3">ASIN(SQRT(D98/100))*180/PI()</f>
        <v>40.202965886569778</v>
      </c>
      <c r="F98">
        <v>0.52</v>
      </c>
      <c r="G98">
        <v>135.4</v>
      </c>
      <c r="H98">
        <v>0.1</v>
      </c>
      <c r="I98" s="2">
        <v>3.24</v>
      </c>
      <c r="J98">
        <v>23.75</v>
      </c>
      <c r="K98" t="s">
        <v>63</v>
      </c>
      <c r="L98" s="21">
        <v>0.36</v>
      </c>
      <c r="M98" s="21">
        <v>221.15</v>
      </c>
      <c r="N98" s="21">
        <v>0</v>
      </c>
      <c r="O98">
        <v>3.6950000000000003</v>
      </c>
      <c r="P98">
        <v>2.2069999999999999</v>
      </c>
    </row>
    <row r="99" spans="1:16" x14ac:dyDescent="0.25">
      <c r="A99">
        <v>3</v>
      </c>
      <c r="B99" t="s">
        <v>6</v>
      </c>
      <c r="C99">
        <v>1</v>
      </c>
      <c r="D99" s="1">
        <v>56.666666666666657</v>
      </c>
      <c r="E99" s="1">
        <f t="shared" si="3"/>
        <v>48.831127830383025</v>
      </c>
      <c r="F99">
        <v>0.78</v>
      </c>
      <c r="G99">
        <v>160</v>
      </c>
      <c r="H99">
        <v>2.44</v>
      </c>
      <c r="I99" s="2">
        <v>3.87</v>
      </c>
      <c r="J99">
        <v>23.75</v>
      </c>
      <c r="K99" t="s">
        <v>63</v>
      </c>
      <c r="L99" s="21">
        <v>0.6</v>
      </c>
      <c r="M99" s="21">
        <v>180</v>
      </c>
      <c r="N99" s="21">
        <v>0.17</v>
      </c>
      <c r="O99">
        <v>3.2850000000000001</v>
      </c>
      <c r="P99">
        <v>3.0714999999999999</v>
      </c>
    </row>
    <row r="100" spans="1:16" x14ac:dyDescent="0.25">
      <c r="A100">
        <v>3</v>
      </c>
      <c r="B100" t="s">
        <v>6</v>
      </c>
      <c r="C100">
        <v>2</v>
      </c>
      <c r="D100" s="1">
        <v>48.333333333333343</v>
      </c>
      <c r="E100" s="1">
        <f t="shared" si="3"/>
        <v>44.044893414145044</v>
      </c>
      <c r="F100">
        <v>0.77</v>
      </c>
      <c r="G100">
        <v>141.5</v>
      </c>
      <c r="H100">
        <v>2.2000000000000002</v>
      </c>
      <c r="I100" s="2">
        <v>3.93</v>
      </c>
      <c r="J100">
        <v>23.75</v>
      </c>
      <c r="K100" t="s">
        <v>63</v>
      </c>
      <c r="L100" s="21">
        <v>0.43</v>
      </c>
      <c r="M100" s="21">
        <v>200.9</v>
      </c>
      <c r="N100" s="21">
        <v>0.03</v>
      </c>
      <c r="O100">
        <v>3.49</v>
      </c>
      <c r="P100">
        <v>2.7244999999999999</v>
      </c>
    </row>
    <row r="101" spans="1:16" x14ac:dyDescent="0.25">
      <c r="A101">
        <v>3</v>
      </c>
      <c r="B101" t="s">
        <v>6</v>
      </c>
      <c r="C101">
        <v>3</v>
      </c>
      <c r="D101" s="1">
        <v>48.333333333333343</v>
      </c>
      <c r="E101" s="1">
        <f t="shared" si="3"/>
        <v>44.044893414145044</v>
      </c>
      <c r="F101">
        <v>0.64</v>
      </c>
      <c r="G101">
        <v>175.3</v>
      </c>
      <c r="H101">
        <v>1.66</v>
      </c>
      <c r="I101" s="2">
        <v>3.81</v>
      </c>
      <c r="J101">
        <v>23.75</v>
      </c>
      <c r="K101" t="s">
        <v>63</v>
      </c>
      <c r="L101" s="21">
        <v>0.36</v>
      </c>
      <c r="M101" s="21">
        <v>221.15</v>
      </c>
      <c r="N101" s="21">
        <v>0</v>
      </c>
      <c r="O101">
        <v>3.6950000000000003</v>
      </c>
      <c r="P101">
        <v>2.2069999999999999</v>
      </c>
    </row>
    <row r="102" spans="1:16" x14ac:dyDescent="0.25">
      <c r="A102">
        <v>3</v>
      </c>
      <c r="B102" t="s">
        <v>7</v>
      </c>
      <c r="C102">
        <v>1</v>
      </c>
      <c r="D102" s="1">
        <v>30</v>
      </c>
      <c r="E102" s="1">
        <f t="shared" si="3"/>
        <v>33.210910760899083</v>
      </c>
      <c r="F102">
        <v>0.28999999999999998</v>
      </c>
      <c r="G102">
        <v>164.2</v>
      </c>
      <c r="H102">
        <v>0.25</v>
      </c>
      <c r="I102" s="2">
        <v>3.81</v>
      </c>
      <c r="J102">
        <v>23.75</v>
      </c>
      <c r="K102" t="s">
        <v>63</v>
      </c>
      <c r="L102" s="21">
        <v>0.6</v>
      </c>
      <c r="M102" s="21">
        <v>180</v>
      </c>
      <c r="N102" s="21">
        <v>0.17</v>
      </c>
      <c r="O102">
        <v>3.2850000000000001</v>
      </c>
      <c r="P102">
        <v>3.0714999999999999</v>
      </c>
    </row>
    <row r="103" spans="1:16" x14ac:dyDescent="0.25">
      <c r="A103">
        <v>3</v>
      </c>
      <c r="B103" t="s">
        <v>7</v>
      </c>
      <c r="C103">
        <v>2</v>
      </c>
      <c r="D103" s="1">
        <v>31.666666666666661</v>
      </c>
      <c r="E103" s="1">
        <f t="shared" si="3"/>
        <v>34.244905866556259</v>
      </c>
      <c r="F103">
        <v>0.32</v>
      </c>
      <c r="G103">
        <v>182.6</v>
      </c>
      <c r="H103">
        <v>0.2</v>
      </c>
      <c r="I103" s="2">
        <v>3.62</v>
      </c>
      <c r="J103">
        <v>23.75</v>
      </c>
      <c r="K103" t="s">
        <v>63</v>
      </c>
      <c r="L103" s="21">
        <v>0.43</v>
      </c>
      <c r="M103" s="21">
        <v>200.9</v>
      </c>
      <c r="N103" s="21">
        <v>0.03</v>
      </c>
      <c r="O103">
        <v>3.49</v>
      </c>
      <c r="P103">
        <v>2.7244999999999999</v>
      </c>
    </row>
    <row r="104" spans="1:16" x14ac:dyDescent="0.25">
      <c r="A104">
        <v>3</v>
      </c>
      <c r="B104" t="s">
        <v>7</v>
      </c>
      <c r="C104">
        <v>3</v>
      </c>
      <c r="D104" s="1">
        <v>33.333333333333329</v>
      </c>
      <c r="E104" s="1">
        <f t="shared" si="3"/>
        <v>35.264389682754654</v>
      </c>
      <c r="F104">
        <v>0.27</v>
      </c>
      <c r="G104">
        <v>180.9</v>
      </c>
      <c r="H104">
        <v>0.9</v>
      </c>
      <c r="I104" s="2">
        <v>3.74</v>
      </c>
      <c r="J104">
        <v>23.75</v>
      </c>
      <c r="K104" t="s">
        <v>63</v>
      </c>
      <c r="L104" s="21">
        <v>0.36</v>
      </c>
      <c r="M104" s="21">
        <v>221.15</v>
      </c>
      <c r="N104" s="21">
        <v>0</v>
      </c>
      <c r="O104">
        <v>3.6950000000000003</v>
      </c>
      <c r="P104">
        <v>2.2069999999999999</v>
      </c>
    </row>
    <row r="105" spans="1:16" x14ac:dyDescent="0.25">
      <c r="A105">
        <v>3</v>
      </c>
      <c r="B105" t="s">
        <v>9</v>
      </c>
      <c r="C105">
        <v>1</v>
      </c>
      <c r="D105" s="1">
        <v>39.285714285714278</v>
      </c>
      <c r="E105" s="1">
        <f t="shared" si="3"/>
        <v>38.813187441905718</v>
      </c>
      <c r="F105">
        <v>0.74</v>
      </c>
      <c r="G105">
        <v>204.3</v>
      </c>
      <c r="H105">
        <v>0.7</v>
      </c>
      <c r="I105" s="2">
        <v>3.62</v>
      </c>
      <c r="J105">
        <v>23.75</v>
      </c>
      <c r="K105" t="s">
        <v>63</v>
      </c>
      <c r="L105" s="21">
        <v>0.6</v>
      </c>
      <c r="M105" s="21">
        <v>180</v>
      </c>
      <c r="N105" s="21">
        <v>0.17</v>
      </c>
      <c r="O105">
        <v>3.2850000000000001</v>
      </c>
      <c r="P105">
        <v>3.0714999999999999</v>
      </c>
    </row>
    <row r="106" spans="1:16" x14ac:dyDescent="0.25">
      <c r="A106">
        <v>3</v>
      </c>
      <c r="B106" t="s">
        <v>9</v>
      </c>
      <c r="C106">
        <v>2</v>
      </c>
      <c r="D106" s="1">
        <v>46.666666666666657</v>
      </c>
      <c r="E106" s="1">
        <f t="shared" si="3"/>
        <v>43.08872313536282</v>
      </c>
      <c r="F106">
        <v>0.63</v>
      </c>
      <c r="G106">
        <v>157.6</v>
      </c>
      <c r="H106">
        <v>0.21</v>
      </c>
      <c r="I106" s="2">
        <v>3.71</v>
      </c>
      <c r="J106">
        <v>23.75</v>
      </c>
      <c r="K106" t="s">
        <v>63</v>
      </c>
      <c r="L106" s="21">
        <v>0.43</v>
      </c>
      <c r="M106" s="21">
        <v>200.9</v>
      </c>
      <c r="N106" s="21">
        <v>0.03</v>
      </c>
      <c r="O106">
        <v>3.49</v>
      </c>
      <c r="P106">
        <v>2.7244999999999999</v>
      </c>
    </row>
    <row r="107" spans="1:16" x14ac:dyDescent="0.25">
      <c r="A107">
        <v>3</v>
      </c>
      <c r="B107" t="s">
        <v>9</v>
      </c>
      <c r="C107">
        <v>3</v>
      </c>
      <c r="D107" s="1">
        <v>33.333333333333329</v>
      </c>
      <c r="E107" s="1">
        <f t="shared" si="3"/>
        <v>35.264389682754654</v>
      </c>
      <c r="F107">
        <v>0.56999999999999995</v>
      </c>
      <c r="G107">
        <v>188.2</v>
      </c>
      <c r="H107">
        <v>0</v>
      </c>
      <c r="I107" s="2">
        <v>3.5</v>
      </c>
      <c r="J107">
        <v>23.75</v>
      </c>
      <c r="K107" t="s">
        <v>63</v>
      </c>
      <c r="L107" s="21">
        <v>0.36</v>
      </c>
      <c r="M107" s="21">
        <v>221.15</v>
      </c>
      <c r="N107" s="21">
        <v>0</v>
      </c>
      <c r="O107">
        <v>3.6950000000000003</v>
      </c>
      <c r="P107">
        <v>2.2069999999999999</v>
      </c>
    </row>
    <row r="108" spans="1:16" x14ac:dyDescent="0.25">
      <c r="A108">
        <v>3</v>
      </c>
      <c r="B108" t="s">
        <v>10</v>
      </c>
      <c r="C108">
        <v>1</v>
      </c>
      <c r="D108" s="1">
        <v>45</v>
      </c>
      <c r="E108" s="1">
        <f t="shared" si="3"/>
        <v>42.130414761366609</v>
      </c>
      <c r="F108">
        <v>0.67</v>
      </c>
      <c r="G108">
        <v>156.5</v>
      </c>
      <c r="H108">
        <v>0.87</v>
      </c>
      <c r="I108" s="2">
        <v>3.69</v>
      </c>
      <c r="J108">
        <v>23.75</v>
      </c>
      <c r="K108" t="s">
        <v>63</v>
      </c>
      <c r="L108" s="21">
        <v>0.6</v>
      </c>
      <c r="M108" s="21">
        <v>180</v>
      </c>
      <c r="N108" s="21">
        <v>0.17</v>
      </c>
      <c r="O108">
        <v>3.2850000000000001</v>
      </c>
      <c r="P108">
        <v>3.0714999999999999</v>
      </c>
    </row>
    <row r="109" spans="1:16" x14ac:dyDescent="0.25">
      <c r="A109">
        <v>3</v>
      </c>
      <c r="B109" t="s">
        <v>10</v>
      </c>
      <c r="C109">
        <v>2</v>
      </c>
      <c r="D109" s="1">
        <v>36.666666666666657</v>
      </c>
      <c r="E109" s="1">
        <f t="shared" si="3"/>
        <v>37.266995023289724</v>
      </c>
      <c r="F109">
        <v>0.72</v>
      </c>
      <c r="G109">
        <v>156.80000000000001</v>
      </c>
      <c r="H109">
        <v>0</v>
      </c>
      <c r="I109" s="2">
        <v>3.63</v>
      </c>
      <c r="J109">
        <v>23.75</v>
      </c>
      <c r="K109" t="s">
        <v>63</v>
      </c>
      <c r="L109" s="21">
        <v>0.43</v>
      </c>
      <c r="M109" s="21">
        <v>200.9</v>
      </c>
      <c r="N109" s="21">
        <v>0.03</v>
      </c>
      <c r="O109">
        <v>3.49</v>
      </c>
      <c r="P109">
        <v>2.7244999999999999</v>
      </c>
    </row>
    <row r="110" spans="1:16" x14ac:dyDescent="0.25">
      <c r="A110">
        <v>3</v>
      </c>
      <c r="B110" t="s">
        <v>10</v>
      </c>
      <c r="C110">
        <v>3</v>
      </c>
      <c r="D110" s="1">
        <v>45</v>
      </c>
      <c r="E110" s="1">
        <f t="shared" si="3"/>
        <v>42.130414761366609</v>
      </c>
      <c r="F110">
        <v>0.85</v>
      </c>
      <c r="G110">
        <v>142.30000000000001</v>
      </c>
      <c r="H110">
        <v>0.88</v>
      </c>
      <c r="I110" s="2">
        <v>3.44</v>
      </c>
      <c r="J110">
        <v>23.75</v>
      </c>
      <c r="K110" t="s">
        <v>63</v>
      </c>
      <c r="L110" s="21">
        <v>0.36</v>
      </c>
      <c r="M110" s="21">
        <v>221.15</v>
      </c>
      <c r="N110" s="21">
        <v>0</v>
      </c>
      <c r="O110">
        <v>3.6950000000000003</v>
      </c>
      <c r="P110">
        <v>2.2069999999999999</v>
      </c>
    </row>
    <row r="111" spans="1:16" x14ac:dyDescent="0.25">
      <c r="A111">
        <v>3</v>
      </c>
      <c r="B111" t="s">
        <v>11</v>
      </c>
      <c r="C111">
        <v>1</v>
      </c>
      <c r="D111" s="1">
        <v>48.214285714285722</v>
      </c>
      <c r="E111" s="1">
        <f t="shared" si="3"/>
        <v>43.976643451163724</v>
      </c>
      <c r="F111">
        <v>2.31</v>
      </c>
      <c r="G111">
        <v>114.9</v>
      </c>
      <c r="H111">
        <v>0</v>
      </c>
      <c r="I111" s="2">
        <v>3.71</v>
      </c>
      <c r="J111">
        <v>23.75</v>
      </c>
      <c r="K111" t="s">
        <v>63</v>
      </c>
      <c r="L111" s="21">
        <v>0.6</v>
      </c>
      <c r="M111" s="21">
        <v>180</v>
      </c>
      <c r="N111" s="21">
        <v>0.17</v>
      </c>
      <c r="O111">
        <v>3.2850000000000001</v>
      </c>
      <c r="P111">
        <v>3.0714999999999999</v>
      </c>
    </row>
    <row r="112" spans="1:16" x14ac:dyDescent="0.25">
      <c r="A112">
        <v>3</v>
      </c>
      <c r="B112" t="s">
        <v>11</v>
      </c>
      <c r="C112">
        <v>2</v>
      </c>
      <c r="D112" s="1">
        <v>48.333333333333343</v>
      </c>
      <c r="E112" s="1">
        <f t="shared" si="3"/>
        <v>44.044893414145044</v>
      </c>
      <c r="F112">
        <v>2.67</v>
      </c>
      <c r="G112">
        <v>126.4</v>
      </c>
      <c r="H112">
        <v>0</v>
      </c>
      <c r="I112" s="2">
        <v>3.73</v>
      </c>
      <c r="J112">
        <v>23.75</v>
      </c>
      <c r="K112" t="s">
        <v>63</v>
      </c>
      <c r="L112" s="21">
        <v>0.43</v>
      </c>
      <c r="M112" s="21">
        <v>200.9</v>
      </c>
      <c r="N112" s="21">
        <v>0.03</v>
      </c>
      <c r="O112">
        <v>3.49</v>
      </c>
      <c r="P112">
        <v>2.7244999999999999</v>
      </c>
    </row>
    <row r="113" spans="1:16" x14ac:dyDescent="0.25">
      <c r="A113">
        <v>3</v>
      </c>
      <c r="B113" t="s">
        <v>11</v>
      </c>
      <c r="C113">
        <v>3</v>
      </c>
      <c r="D113" s="1">
        <v>46.666666666666657</v>
      </c>
      <c r="E113" s="1">
        <f t="shared" si="3"/>
        <v>43.08872313536282</v>
      </c>
      <c r="F113">
        <v>3.9</v>
      </c>
      <c r="G113">
        <v>150.4</v>
      </c>
      <c r="H113">
        <v>0</v>
      </c>
      <c r="I113" s="2">
        <v>3.65</v>
      </c>
      <c r="J113">
        <v>23.75</v>
      </c>
      <c r="K113" t="s">
        <v>63</v>
      </c>
      <c r="L113" s="21">
        <v>0.36</v>
      </c>
      <c r="M113" s="21">
        <v>221.15</v>
      </c>
      <c r="N113" s="21">
        <v>0</v>
      </c>
      <c r="O113">
        <v>3.6950000000000003</v>
      </c>
      <c r="P113">
        <v>2.2069999999999999</v>
      </c>
    </row>
    <row r="114" spans="1:16" x14ac:dyDescent="0.25">
      <c r="A114">
        <v>3</v>
      </c>
      <c r="B114" t="s">
        <v>12</v>
      </c>
      <c r="C114">
        <v>1</v>
      </c>
      <c r="D114" s="1">
        <v>35</v>
      </c>
      <c r="E114" s="1">
        <f t="shared" si="3"/>
        <v>36.271198438138953</v>
      </c>
      <c r="F114">
        <v>0.63</v>
      </c>
      <c r="G114">
        <v>164.2</v>
      </c>
      <c r="H114">
        <v>0</v>
      </c>
      <c r="I114" s="2">
        <v>3.66</v>
      </c>
      <c r="J114">
        <v>23.75</v>
      </c>
      <c r="K114" t="s">
        <v>63</v>
      </c>
      <c r="L114" s="21">
        <v>0.6</v>
      </c>
      <c r="M114" s="21">
        <v>180</v>
      </c>
      <c r="N114" s="21">
        <v>0.17</v>
      </c>
      <c r="O114">
        <v>3.2850000000000001</v>
      </c>
      <c r="P114">
        <v>3.0714999999999999</v>
      </c>
    </row>
    <row r="115" spans="1:16" x14ac:dyDescent="0.25">
      <c r="A115">
        <v>3</v>
      </c>
      <c r="B115" t="s">
        <v>12</v>
      </c>
      <c r="C115">
        <v>2</v>
      </c>
      <c r="D115" s="1">
        <v>40</v>
      </c>
      <c r="E115" s="1">
        <f t="shared" si="3"/>
        <v>39.231520483592263</v>
      </c>
      <c r="F115">
        <v>0.57999999999999996</v>
      </c>
      <c r="G115">
        <v>158.9</v>
      </c>
      <c r="H115">
        <v>0</v>
      </c>
      <c r="I115" s="2">
        <v>3.66</v>
      </c>
      <c r="J115">
        <v>23.75</v>
      </c>
      <c r="K115" t="s">
        <v>63</v>
      </c>
      <c r="L115" s="21">
        <v>0.43</v>
      </c>
      <c r="M115" s="21">
        <v>200.9</v>
      </c>
      <c r="N115" s="21">
        <v>0.03</v>
      </c>
      <c r="O115">
        <v>3.49</v>
      </c>
      <c r="P115">
        <v>2.7244999999999999</v>
      </c>
    </row>
    <row r="116" spans="1:16" x14ac:dyDescent="0.25">
      <c r="A116">
        <v>3</v>
      </c>
      <c r="B116" t="s">
        <v>12</v>
      </c>
      <c r="C116">
        <v>3</v>
      </c>
      <c r="D116" s="1">
        <v>39.285714285714278</v>
      </c>
      <c r="E116" s="1">
        <f t="shared" si="3"/>
        <v>38.813187441905718</v>
      </c>
      <c r="F116">
        <v>0.52</v>
      </c>
      <c r="G116">
        <v>151.4</v>
      </c>
      <c r="H116">
        <v>0</v>
      </c>
      <c r="I116" s="2">
        <v>3.57</v>
      </c>
      <c r="J116">
        <v>23.75</v>
      </c>
      <c r="K116" t="s">
        <v>63</v>
      </c>
      <c r="L116" s="21">
        <v>0.36</v>
      </c>
      <c r="M116" s="21">
        <v>221.15</v>
      </c>
      <c r="N116" s="21">
        <v>0</v>
      </c>
      <c r="O116">
        <v>3.6950000000000003</v>
      </c>
      <c r="P116">
        <v>2.2069999999999999</v>
      </c>
    </row>
    <row r="117" spans="1:16" x14ac:dyDescent="0.25">
      <c r="A117">
        <v>3</v>
      </c>
      <c r="B117" t="s">
        <v>13</v>
      </c>
      <c r="C117">
        <v>1</v>
      </c>
      <c r="D117" s="1">
        <v>38.333333333333343</v>
      </c>
      <c r="E117" s="1">
        <f t="shared" si="3"/>
        <v>38.25330058922416</v>
      </c>
      <c r="F117">
        <v>0.77</v>
      </c>
      <c r="G117">
        <v>147.5</v>
      </c>
      <c r="H117">
        <v>0.88</v>
      </c>
      <c r="I117" s="2">
        <v>3.59</v>
      </c>
      <c r="J117">
        <v>23.75</v>
      </c>
      <c r="K117" t="s">
        <v>63</v>
      </c>
      <c r="L117" s="21">
        <v>0.6</v>
      </c>
      <c r="M117" s="21">
        <v>180</v>
      </c>
      <c r="N117" s="21">
        <v>0.17</v>
      </c>
      <c r="O117">
        <v>3.2850000000000001</v>
      </c>
      <c r="P117">
        <v>3.0714999999999999</v>
      </c>
    </row>
    <row r="118" spans="1:16" x14ac:dyDescent="0.25">
      <c r="A118">
        <v>3</v>
      </c>
      <c r="B118" t="s">
        <v>13</v>
      </c>
      <c r="C118">
        <v>2</v>
      </c>
      <c r="D118" s="1">
        <v>50</v>
      </c>
      <c r="E118" s="1">
        <f t="shared" si="3"/>
        <v>45.000000000000007</v>
      </c>
      <c r="F118">
        <v>0.88</v>
      </c>
      <c r="G118">
        <v>160</v>
      </c>
      <c r="H118">
        <v>0.92</v>
      </c>
      <c r="I118" s="2">
        <v>3.71</v>
      </c>
      <c r="J118">
        <v>23.75</v>
      </c>
      <c r="K118" t="s">
        <v>63</v>
      </c>
      <c r="L118" s="21">
        <v>0.43</v>
      </c>
      <c r="M118" s="21">
        <v>200.9</v>
      </c>
      <c r="N118" s="21">
        <v>0.03</v>
      </c>
      <c r="O118">
        <v>3.49</v>
      </c>
      <c r="P118">
        <v>2.7244999999999999</v>
      </c>
    </row>
    <row r="119" spans="1:16" x14ac:dyDescent="0.25">
      <c r="A119">
        <v>3</v>
      </c>
      <c r="B119" t="s">
        <v>13</v>
      </c>
      <c r="C119">
        <v>3</v>
      </c>
      <c r="D119" s="1">
        <v>46.666666666666657</v>
      </c>
      <c r="E119" s="1">
        <f t="shared" si="3"/>
        <v>43.08872313536282</v>
      </c>
      <c r="F119">
        <v>0.56999999999999995</v>
      </c>
      <c r="G119">
        <v>109.5</v>
      </c>
      <c r="H119">
        <v>0</v>
      </c>
      <c r="I119" s="2">
        <v>3.68</v>
      </c>
      <c r="J119">
        <v>23.75</v>
      </c>
      <c r="K119" t="s">
        <v>63</v>
      </c>
      <c r="L119" s="21">
        <v>0.36</v>
      </c>
      <c r="M119" s="21">
        <v>221.15</v>
      </c>
      <c r="N119" s="21">
        <v>0</v>
      </c>
      <c r="O119">
        <v>3.6950000000000003</v>
      </c>
      <c r="P119">
        <v>2.2069999999999999</v>
      </c>
    </row>
    <row r="120" spans="1:16" x14ac:dyDescent="0.25">
      <c r="A120">
        <v>3</v>
      </c>
      <c r="B120" t="s">
        <v>14</v>
      </c>
      <c r="C120">
        <v>1</v>
      </c>
      <c r="D120" s="1">
        <v>18.333333333333329</v>
      </c>
      <c r="E120" s="1">
        <f t="shared" si="3"/>
        <v>25.351759880406242</v>
      </c>
      <c r="F120">
        <v>0.43</v>
      </c>
      <c r="G120">
        <v>180.1</v>
      </c>
      <c r="H120">
        <v>0</v>
      </c>
      <c r="I120" s="2">
        <v>3.6</v>
      </c>
      <c r="J120">
        <v>23.75</v>
      </c>
      <c r="K120" t="s">
        <v>63</v>
      </c>
      <c r="L120" s="21">
        <v>0.6</v>
      </c>
      <c r="M120" s="21">
        <v>180</v>
      </c>
      <c r="N120" s="21">
        <v>0.17</v>
      </c>
      <c r="O120">
        <v>3.2850000000000001</v>
      </c>
      <c r="P120">
        <v>3.0714999999999999</v>
      </c>
    </row>
    <row r="121" spans="1:16" x14ac:dyDescent="0.25">
      <c r="A121">
        <v>3</v>
      </c>
      <c r="B121" t="s">
        <v>14</v>
      </c>
      <c r="C121">
        <v>2</v>
      </c>
      <c r="D121" s="1">
        <v>23.333333333333329</v>
      </c>
      <c r="E121" s="1">
        <f t="shared" si="3"/>
        <v>28.884523682248943</v>
      </c>
      <c r="F121">
        <v>0.44</v>
      </c>
      <c r="G121">
        <v>189.2</v>
      </c>
      <c r="H121">
        <v>0</v>
      </c>
      <c r="I121" s="2">
        <v>3.41</v>
      </c>
      <c r="J121">
        <v>23.75</v>
      </c>
      <c r="K121" t="s">
        <v>63</v>
      </c>
      <c r="L121" s="21">
        <v>0.43</v>
      </c>
      <c r="M121" s="21">
        <v>200.9</v>
      </c>
      <c r="N121" s="21">
        <v>0.03</v>
      </c>
      <c r="O121">
        <v>3.49</v>
      </c>
      <c r="P121">
        <v>2.7244999999999999</v>
      </c>
    </row>
    <row r="122" spans="1:16" x14ac:dyDescent="0.25">
      <c r="A122">
        <v>3</v>
      </c>
      <c r="B122" t="s">
        <v>14</v>
      </c>
      <c r="C122">
        <v>3</v>
      </c>
      <c r="D122" s="1">
        <v>21.666666666666671</v>
      </c>
      <c r="E122" s="1">
        <f t="shared" si="3"/>
        <v>27.740946079469374</v>
      </c>
      <c r="F122">
        <v>0.52</v>
      </c>
      <c r="G122">
        <v>210.3</v>
      </c>
      <c r="H122">
        <v>0</v>
      </c>
      <c r="I122" s="2">
        <v>3.63</v>
      </c>
      <c r="J122">
        <v>23.75</v>
      </c>
      <c r="K122" t="s">
        <v>63</v>
      </c>
      <c r="L122" s="21">
        <v>0.36</v>
      </c>
      <c r="M122" s="21">
        <v>221.15</v>
      </c>
      <c r="N122" s="21">
        <v>0</v>
      </c>
      <c r="O122">
        <v>3.6950000000000003</v>
      </c>
      <c r="P122">
        <v>2.2069999999999999</v>
      </c>
    </row>
    <row r="123" spans="1:16" x14ac:dyDescent="0.25">
      <c r="A123">
        <v>4</v>
      </c>
      <c r="B123" t="s">
        <v>4</v>
      </c>
      <c r="C123">
        <v>1</v>
      </c>
      <c r="D123" s="1">
        <v>42.5</v>
      </c>
      <c r="E123" s="1">
        <f t="shared" si="3"/>
        <v>40.686536720660683</v>
      </c>
      <c r="F123">
        <v>0.42</v>
      </c>
      <c r="G123">
        <v>201.8</v>
      </c>
      <c r="H123">
        <v>1.51</v>
      </c>
      <c r="I123" s="2">
        <v>4.54</v>
      </c>
      <c r="J123">
        <v>23.75</v>
      </c>
      <c r="K123" t="s">
        <v>63</v>
      </c>
      <c r="L123" s="21">
        <v>0.39</v>
      </c>
      <c r="M123" s="21">
        <v>202.95</v>
      </c>
      <c r="N123" s="21">
        <v>0.64</v>
      </c>
      <c r="O123">
        <v>3.96</v>
      </c>
      <c r="P123">
        <v>1.6324999999999998</v>
      </c>
    </row>
    <row r="124" spans="1:16" x14ac:dyDescent="0.25">
      <c r="A124">
        <v>4</v>
      </c>
      <c r="B124" t="s">
        <v>4</v>
      </c>
      <c r="C124">
        <v>2</v>
      </c>
      <c r="D124" s="1">
        <v>45.833333333333329</v>
      </c>
      <c r="E124" s="1">
        <f t="shared" si="3"/>
        <v>42.609904076400426</v>
      </c>
      <c r="F124">
        <v>0.59</v>
      </c>
      <c r="G124">
        <v>185.1</v>
      </c>
      <c r="H124">
        <v>1.47</v>
      </c>
      <c r="I124" s="2">
        <v>3.52</v>
      </c>
      <c r="J124">
        <v>23.75</v>
      </c>
      <c r="K124" t="s">
        <v>63</v>
      </c>
      <c r="L124" s="21">
        <v>0.3</v>
      </c>
      <c r="M124" s="21">
        <v>186.95</v>
      </c>
      <c r="N124" s="21">
        <v>0.89</v>
      </c>
      <c r="O124">
        <v>3.96</v>
      </c>
      <c r="P124">
        <v>1.6400000000000001</v>
      </c>
    </row>
    <row r="125" spans="1:16" x14ac:dyDescent="0.25">
      <c r="A125">
        <v>4</v>
      </c>
      <c r="B125" t="s">
        <v>4</v>
      </c>
      <c r="C125">
        <v>3</v>
      </c>
      <c r="D125" s="1">
        <v>52.272727272727273</v>
      </c>
      <c r="E125" s="1">
        <f t="shared" si="3"/>
        <v>46.302625632528645</v>
      </c>
      <c r="F125">
        <v>0.59</v>
      </c>
      <c r="G125">
        <v>164.6</v>
      </c>
      <c r="H125">
        <v>1.37</v>
      </c>
      <c r="I125" s="2">
        <v>3.41</v>
      </c>
      <c r="J125">
        <v>23.75</v>
      </c>
      <c r="K125" t="s">
        <v>63</v>
      </c>
      <c r="L125" s="21">
        <v>0.36</v>
      </c>
      <c r="M125" s="21">
        <v>176.25</v>
      </c>
      <c r="N125" s="21">
        <v>0.37</v>
      </c>
      <c r="O125">
        <v>4.0350000000000001</v>
      </c>
      <c r="P125">
        <v>1.7244999999999999</v>
      </c>
    </row>
    <row r="126" spans="1:16" x14ac:dyDescent="0.25">
      <c r="A126">
        <v>4</v>
      </c>
      <c r="B126" t="s">
        <v>5</v>
      </c>
      <c r="C126">
        <v>1</v>
      </c>
      <c r="D126" s="1">
        <v>4.5454545454545459</v>
      </c>
      <c r="E126" s="1">
        <f t="shared" si="3"/>
        <v>12.30998866432855</v>
      </c>
      <c r="F126">
        <v>0.13</v>
      </c>
      <c r="G126">
        <v>212.2</v>
      </c>
      <c r="H126">
        <v>0.22</v>
      </c>
      <c r="I126" s="2">
        <v>5.0999999999999996</v>
      </c>
      <c r="J126">
        <v>23.75</v>
      </c>
      <c r="K126" t="s">
        <v>63</v>
      </c>
      <c r="L126" s="21">
        <v>0.39</v>
      </c>
      <c r="M126" s="21">
        <v>202.95</v>
      </c>
      <c r="N126" s="21">
        <v>0.64</v>
      </c>
      <c r="O126">
        <v>3.96</v>
      </c>
      <c r="P126">
        <v>1.6324999999999998</v>
      </c>
    </row>
    <row r="127" spans="1:16" x14ac:dyDescent="0.25">
      <c r="A127">
        <v>4</v>
      </c>
      <c r="B127" t="s">
        <v>5</v>
      </c>
      <c r="C127">
        <v>2</v>
      </c>
      <c r="D127" s="1">
        <v>4.5454545454545459</v>
      </c>
      <c r="E127" s="1">
        <f t="shared" si="3"/>
        <v>12.30998866432855</v>
      </c>
      <c r="F127">
        <v>0.19</v>
      </c>
      <c r="G127">
        <v>206.8</v>
      </c>
      <c r="H127">
        <v>0</v>
      </c>
      <c r="I127" s="2">
        <v>5.16</v>
      </c>
      <c r="J127">
        <v>23.75</v>
      </c>
      <c r="K127" t="s">
        <v>63</v>
      </c>
      <c r="L127" s="21">
        <v>0.3</v>
      </c>
      <c r="M127" s="21">
        <v>186.95</v>
      </c>
      <c r="N127" s="21">
        <v>0.89</v>
      </c>
      <c r="O127">
        <v>3.96</v>
      </c>
      <c r="P127">
        <v>1.6400000000000001</v>
      </c>
    </row>
    <row r="128" spans="1:16" x14ac:dyDescent="0.25">
      <c r="A128">
        <v>4</v>
      </c>
      <c r="B128" t="s">
        <v>5</v>
      </c>
      <c r="C128">
        <v>3</v>
      </c>
      <c r="D128" s="1">
        <v>2.2727272727272729</v>
      </c>
      <c r="E128" s="1">
        <f t="shared" si="3"/>
        <v>8.6707214013798826</v>
      </c>
      <c r="F128">
        <v>0.22</v>
      </c>
      <c r="G128">
        <v>206.2</v>
      </c>
      <c r="H128">
        <v>0</v>
      </c>
      <c r="I128" s="2">
        <v>5.47</v>
      </c>
      <c r="J128">
        <v>23.75</v>
      </c>
      <c r="K128" t="s">
        <v>63</v>
      </c>
      <c r="L128" s="21">
        <v>0.36</v>
      </c>
      <c r="M128" s="21">
        <v>176.25</v>
      </c>
      <c r="N128" s="21">
        <v>0.37</v>
      </c>
      <c r="O128">
        <v>4.0350000000000001</v>
      </c>
      <c r="P128">
        <v>1.7244999999999999</v>
      </c>
    </row>
    <row r="129" spans="1:16" x14ac:dyDescent="0.25">
      <c r="A129">
        <v>4</v>
      </c>
      <c r="B129" t="s">
        <v>17</v>
      </c>
      <c r="C129">
        <v>1</v>
      </c>
      <c r="D129" s="1">
        <v>50</v>
      </c>
      <c r="E129" s="1">
        <f t="shared" si="3"/>
        <v>45.000000000000007</v>
      </c>
      <c r="F129">
        <v>0.57999999999999996</v>
      </c>
      <c r="G129">
        <v>190.6</v>
      </c>
      <c r="H129">
        <v>2.15</v>
      </c>
      <c r="I129" s="2">
        <v>3.59</v>
      </c>
      <c r="J129">
        <v>23.75</v>
      </c>
      <c r="K129" t="s">
        <v>63</v>
      </c>
      <c r="L129" s="21">
        <v>0.39</v>
      </c>
      <c r="M129" s="21">
        <v>202.95</v>
      </c>
      <c r="N129" s="21">
        <v>0.64</v>
      </c>
      <c r="O129">
        <v>3.96</v>
      </c>
      <c r="P129">
        <v>1.6324999999999998</v>
      </c>
    </row>
    <row r="130" spans="1:16" x14ac:dyDescent="0.25">
      <c r="A130">
        <v>4</v>
      </c>
      <c r="B130" t="s">
        <v>17</v>
      </c>
      <c r="C130">
        <v>2</v>
      </c>
      <c r="D130" s="1">
        <v>41.666666666666671</v>
      </c>
      <c r="E130" s="1">
        <f t="shared" ref="E130:E155" si="4">ASIN(SQRT(D130/100))*180/PI()</f>
        <v>40.202965886569778</v>
      </c>
      <c r="F130">
        <v>0.54</v>
      </c>
      <c r="G130">
        <v>219.7</v>
      </c>
      <c r="H130">
        <v>1.93</v>
      </c>
      <c r="I130" s="2">
        <v>3.45</v>
      </c>
      <c r="J130">
        <v>23.75</v>
      </c>
      <c r="K130" t="s">
        <v>63</v>
      </c>
      <c r="L130" s="21">
        <v>0.3</v>
      </c>
      <c r="M130" s="21">
        <v>186.95</v>
      </c>
      <c r="N130" s="21">
        <v>0.89</v>
      </c>
      <c r="O130">
        <v>3.96</v>
      </c>
      <c r="P130">
        <v>1.6400000000000001</v>
      </c>
    </row>
    <row r="131" spans="1:16" x14ac:dyDescent="0.25">
      <c r="A131">
        <v>4</v>
      </c>
      <c r="B131" t="s">
        <v>17</v>
      </c>
      <c r="C131">
        <v>3</v>
      </c>
      <c r="D131" s="1">
        <v>50</v>
      </c>
      <c r="E131" s="1">
        <f t="shared" si="4"/>
        <v>45.000000000000007</v>
      </c>
      <c r="F131">
        <v>0.37</v>
      </c>
      <c r="G131">
        <v>198.1</v>
      </c>
      <c r="H131">
        <v>1.67</v>
      </c>
      <c r="I131" s="2">
        <v>3.51</v>
      </c>
      <c r="J131">
        <v>23.75</v>
      </c>
      <c r="K131" t="s">
        <v>63</v>
      </c>
      <c r="L131" s="21">
        <v>0.36</v>
      </c>
      <c r="M131" s="21">
        <v>176.25</v>
      </c>
      <c r="N131" s="21">
        <v>0.37</v>
      </c>
      <c r="O131">
        <v>4.0350000000000001</v>
      </c>
      <c r="P131">
        <v>1.7244999999999999</v>
      </c>
    </row>
    <row r="132" spans="1:16" x14ac:dyDescent="0.25">
      <c r="A132">
        <v>4</v>
      </c>
      <c r="B132" t="s">
        <v>6</v>
      </c>
      <c r="C132">
        <v>1</v>
      </c>
      <c r="D132" s="1">
        <v>70.833333333333343</v>
      </c>
      <c r="E132" s="1">
        <f t="shared" si="4"/>
        <v>57.312159176082048</v>
      </c>
      <c r="F132">
        <v>3.75</v>
      </c>
      <c r="G132">
        <v>142.4</v>
      </c>
      <c r="H132">
        <v>1.59</v>
      </c>
      <c r="I132" s="2">
        <v>3.66</v>
      </c>
      <c r="J132">
        <v>23.75</v>
      </c>
      <c r="K132" t="s">
        <v>63</v>
      </c>
      <c r="L132" s="21">
        <v>0.39</v>
      </c>
      <c r="M132" s="21">
        <v>202.95</v>
      </c>
      <c r="N132" s="21">
        <v>0.64</v>
      </c>
      <c r="O132">
        <v>3.96</v>
      </c>
      <c r="P132">
        <v>1.6324999999999998</v>
      </c>
    </row>
    <row r="133" spans="1:16" x14ac:dyDescent="0.25">
      <c r="A133">
        <v>4</v>
      </c>
      <c r="B133" t="s">
        <v>6</v>
      </c>
      <c r="C133">
        <v>2</v>
      </c>
      <c r="D133" s="1">
        <v>60.416666666666657</v>
      </c>
      <c r="E133" s="1">
        <f t="shared" si="4"/>
        <v>51.012349590282909</v>
      </c>
      <c r="F133">
        <v>3.05</v>
      </c>
      <c r="G133">
        <v>128.80000000000001</v>
      </c>
      <c r="H133">
        <v>0.94</v>
      </c>
      <c r="I133" s="2">
        <v>3.93</v>
      </c>
      <c r="J133">
        <v>23.75</v>
      </c>
      <c r="K133" t="s">
        <v>63</v>
      </c>
      <c r="L133" s="21">
        <v>0.3</v>
      </c>
      <c r="M133" s="21">
        <v>186.95</v>
      </c>
      <c r="N133" s="21">
        <v>0.89</v>
      </c>
      <c r="O133">
        <v>3.96</v>
      </c>
      <c r="P133">
        <v>1.6400000000000001</v>
      </c>
    </row>
    <row r="134" spans="1:16" x14ac:dyDescent="0.25">
      <c r="A134">
        <v>4</v>
      </c>
      <c r="B134" t="s">
        <v>6</v>
      </c>
      <c r="C134">
        <v>3</v>
      </c>
      <c r="D134" s="1">
        <v>72.916666666666657</v>
      </c>
      <c r="E134" s="1">
        <f t="shared" si="4"/>
        <v>58.639806367989038</v>
      </c>
      <c r="F134">
        <v>2.84</v>
      </c>
      <c r="G134">
        <v>137.30000000000001</v>
      </c>
      <c r="H134">
        <v>1.1200000000000001</v>
      </c>
      <c r="I134" s="2">
        <v>3.84</v>
      </c>
      <c r="J134">
        <v>23.75</v>
      </c>
      <c r="K134" t="s">
        <v>63</v>
      </c>
      <c r="L134" s="21">
        <v>0.36</v>
      </c>
      <c r="M134" s="21">
        <v>176.25</v>
      </c>
      <c r="N134" s="21">
        <v>0.37</v>
      </c>
      <c r="O134">
        <v>4.0350000000000001</v>
      </c>
      <c r="P134">
        <v>1.7244999999999999</v>
      </c>
    </row>
    <row r="135" spans="1:16" x14ac:dyDescent="0.25">
      <c r="A135">
        <v>4</v>
      </c>
      <c r="B135" t="s">
        <v>7</v>
      </c>
      <c r="C135">
        <v>1</v>
      </c>
      <c r="D135" s="1">
        <v>2.7777777777777781</v>
      </c>
      <c r="E135" s="1">
        <f t="shared" si="4"/>
        <v>9.5940682268604629</v>
      </c>
      <c r="F135">
        <v>0.11</v>
      </c>
      <c r="G135">
        <v>199.9</v>
      </c>
      <c r="H135">
        <v>1.32</v>
      </c>
      <c r="I135" s="2">
        <v>4</v>
      </c>
      <c r="J135">
        <v>23.75</v>
      </c>
      <c r="K135" t="s">
        <v>63</v>
      </c>
      <c r="L135" s="21">
        <v>0.39</v>
      </c>
      <c r="M135" s="21">
        <v>202.95</v>
      </c>
      <c r="N135" s="21">
        <v>0.64</v>
      </c>
      <c r="O135">
        <v>3.96</v>
      </c>
      <c r="P135">
        <v>1.6324999999999998</v>
      </c>
    </row>
    <row r="136" spans="1:16" x14ac:dyDescent="0.25">
      <c r="A136">
        <v>4</v>
      </c>
      <c r="B136" t="s">
        <v>7</v>
      </c>
      <c r="C136">
        <v>2</v>
      </c>
      <c r="D136" s="1">
        <v>10</v>
      </c>
      <c r="E136" s="1">
        <f t="shared" si="4"/>
        <v>18.434948822922014</v>
      </c>
      <c r="F136">
        <v>0.22</v>
      </c>
      <c r="G136">
        <v>193.6</v>
      </c>
      <c r="H136">
        <v>0.8</v>
      </c>
      <c r="I136" s="2">
        <v>3.93</v>
      </c>
      <c r="J136">
        <v>23.75</v>
      </c>
      <c r="K136" t="s">
        <v>63</v>
      </c>
      <c r="L136" s="21">
        <v>0.3</v>
      </c>
      <c r="M136" s="21">
        <v>186.95</v>
      </c>
      <c r="N136" s="21">
        <v>0.89</v>
      </c>
      <c r="O136">
        <v>3.96</v>
      </c>
      <c r="P136">
        <v>1.6400000000000001</v>
      </c>
    </row>
    <row r="137" spans="1:16" x14ac:dyDescent="0.25">
      <c r="A137">
        <v>4</v>
      </c>
      <c r="B137" t="s">
        <v>7</v>
      </c>
      <c r="C137">
        <v>3</v>
      </c>
      <c r="D137" s="1">
        <v>6.25</v>
      </c>
      <c r="E137" s="1">
        <f t="shared" si="4"/>
        <v>14.477512185929923</v>
      </c>
      <c r="F137">
        <v>0.27</v>
      </c>
      <c r="G137">
        <v>190</v>
      </c>
      <c r="H137">
        <v>0.69</v>
      </c>
      <c r="I137" s="2">
        <v>3.9</v>
      </c>
      <c r="J137">
        <v>23.75</v>
      </c>
      <c r="K137" t="s">
        <v>63</v>
      </c>
      <c r="L137" s="21">
        <v>0.36</v>
      </c>
      <c r="M137" s="21">
        <v>176.25</v>
      </c>
      <c r="N137" s="21">
        <v>0.37</v>
      </c>
      <c r="O137">
        <v>4.0350000000000001</v>
      </c>
      <c r="P137">
        <v>1.7244999999999999</v>
      </c>
    </row>
    <row r="138" spans="1:16" x14ac:dyDescent="0.25">
      <c r="A138">
        <v>4</v>
      </c>
      <c r="B138" t="s">
        <v>9</v>
      </c>
      <c r="C138">
        <v>1</v>
      </c>
      <c r="D138" s="1">
        <v>50</v>
      </c>
      <c r="E138" s="1">
        <f t="shared" si="4"/>
        <v>45.000000000000007</v>
      </c>
      <c r="F138">
        <v>0.65</v>
      </c>
      <c r="G138">
        <v>132.9</v>
      </c>
      <c r="H138">
        <v>0</v>
      </c>
      <c r="I138" s="2">
        <v>3.82</v>
      </c>
      <c r="J138">
        <v>23.75</v>
      </c>
      <c r="K138" t="s">
        <v>63</v>
      </c>
      <c r="L138" s="21">
        <v>0.39</v>
      </c>
      <c r="M138" s="21">
        <v>202.95</v>
      </c>
      <c r="N138" s="21">
        <v>0.64</v>
      </c>
      <c r="O138">
        <v>3.96</v>
      </c>
      <c r="P138">
        <v>1.6324999999999998</v>
      </c>
    </row>
    <row r="139" spans="1:16" x14ac:dyDescent="0.25">
      <c r="A139">
        <v>4</v>
      </c>
      <c r="B139" t="s">
        <v>9</v>
      </c>
      <c r="C139">
        <v>2</v>
      </c>
      <c r="D139" s="1">
        <v>43.18181818181818</v>
      </c>
      <c r="E139" s="1">
        <f t="shared" si="4"/>
        <v>41.081260118457855</v>
      </c>
      <c r="F139">
        <v>0.67</v>
      </c>
      <c r="G139">
        <v>107.9</v>
      </c>
      <c r="H139">
        <v>0</v>
      </c>
      <c r="I139" s="2">
        <v>3.73</v>
      </c>
      <c r="J139">
        <v>23.75</v>
      </c>
      <c r="K139" t="s">
        <v>63</v>
      </c>
      <c r="L139" s="21">
        <v>0.3</v>
      </c>
      <c r="M139" s="21">
        <v>186.95</v>
      </c>
      <c r="N139" s="21">
        <v>0.89</v>
      </c>
      <c r="O139">
        <v>3.96</v>
      </c>
      <c r="P139">
        <v>1.6400000000000001</v>
      </c>
    </row>
    <row r="140" spans="1:16" x14ac:dyDescent="0.25">
      <c r="A140">
        <v>4</v>
      </c>
      <c r="B140" t="s">
        <v>9</v>
      </c>
      <c r="C140">
        <v>3</v>
      </c>
      <c r="D140" s="1">
        <v>47.916666666666671</v>
      </c>
      <c r="E140" s="1">
        <f t="shared" si="4"/>
        <v>43.805992268365614</v>
      </c>
      <c r="F140">
        <v>0.59</v>
      </c>
      <c r="G140">
        <v>173.1</v>
      </c>
      <c r="H140">
        <v>0</v>
      </c>
      <c r="I140" s="2">
        <v>4.03</v>
      </c>
      <c r="J140">
        <v>23.75</v>
      </c>
      <c r="K140" t="s">
        <v>63</v>
      </c>
      <c r="L140" s="21">
        <v>0.36</v>
      </c>
      <c r="M140" s="21">
        <v>176.25</v>
      </c>
      <c r="N140" s="21">
        <v>0.37</v>
      </c>
      <c r="O140">
        <v>4.0350000000000001</v>
      </c>
      <c r="P140">
        <v>1.7244999999999999</v>
      </c>
    </row>
    <row r="141" spans="1:16" x14ac:dyDescent="0.25">
      <c r="A141">
        <v>4</v>
      </c>
      <c r="B141" t="s">
        <v>10</v>
      </c>
      <c r="C141">
        <v>1</v>
      </c>
      <c r="D141" s="1">
        <v>62.5</v>
      </c>
      <c r="E141" s="1">
        <f t="shared" si="4"/>
        <v>52.238756092964962</v>
      </c>
      <c r="F141">
        <v>1.2</v>
      </c>
      <c r="G141">
        <v>105.2</v>
      </c>
      <c r="H141">
        <v>2.2799999999999998</v>
      </c>
      <c r="I141" s="2">
        <v>3.97</v>
      </c>
      <c r="J141">
        <v>23.75</v>
      </c>
      <c r="K141" t="s">
        <v>63</v>
      </c>
      <c r="L141" s="21">
        <v>0.39</v>
      </c>
      <c r="M141" s="21">
        <v>202.95</v>
      </c>
      <c r="N141" s="21">
        <v>0.64</v>
      </c>
      <c r="O141">
        <v>3.96</v>
      </c>
      <c r="P141">
        <v>1.6324999999999998</v>
      </c>
    </row>
    <row r="142" spans="1:16" x14ac:dyDescent="0.25">
      <c r="A142">
        <v>4</v>
      </c>
      <c r="B142" t="s">
        <v>10</v>
      </c>
      <c r="C142">
        <v>2</v>
      </c>
      <c r="D142" s="1">
        <v>58.333333333333343</v>
      </c>
      <c r="E142" s="1">
        <f t="shared" si="4"/>
        <v>49.797034113430229</v>
      </c>
      <c r="F142">
        <v>0.92</v>
      </c>
      <c r="G142">
        <v>123.9</v>
      </c>
      <c r="H142">
        <v>0</v>
      </c>
      <c r="I142" s="2">
        <v>4.07</v>
      </c>
      <c r="J142">
        <v>23.75</v>
      </c>
      <c r="K142" t="s">
        <v>63</v>
      </c>
      <c r="L142" s="21">
        <v>0.3</v>
      </c>
      <c r="M142" s="21">
        <v>186.95</v>
      </c>
      <c r="N142" s="21">
        <v>0.89</v>
      </c>
      <c r="O142">
        <v>3.96</v>
      </c>
      <c r="P142">
        <v>1.6400000000000001</v>
      </c>
    </row>
    <row r="143" spans="1:16" x14ac:dyDescent="0.25">
      <c r="A143">
        <v>4</v>
      </c>
      <c r="B143" t="s">
        <v>10</v>
      </c>
      <c r="C143">
        <v>3</v>
      </c>
      <c r="D143" s="1">
        <v>70.833333333333343</v>
      </c>
      <c r="E143" s="1">
        <f t="shared" si="4"/>
        <v>57.312159176082048</v>
      </c>
      <c r="F143">
        <v>1.47</v>
      </c>
      <c r="G143">
        <v>126.2</v>
      </c>
      <c r="H143">
        <v>0</v>
      </c>
      <c r="I143" s="2">
        <v>3.84</v>
      </c>
      <c r="J143">
        <v>23.75</v>
      </c>
      <c r="K143" t="s">
        <v>63</v>
      </c>
      <c r="L143" s="21">
        <v>0.36</v>
      </c>
      <c r="M143" s="21">
        <v>176.25</v>
      </c>
      <c r="N143" s="21">
        <v>0.37</v>
      </c>
      <c r="O143">
        <v>4.0350000000000001</v>
      </c>
      <c r="P143">
        <v>1.7244999999999999</v>
      </c>
    </row>
    <row r="144" spans="1:16" x14ac:dyDescent="0.25">
      <c r="A144">
        <v>4</v>
      </c>
      <c r="B144" t="s">
        <v>11</v>
      </c>
      <c r="C144">
        <v>1</v>
      </c>
      <c r="D144" s="1">
        <v>54.54545454545454</v>
      </c>
      <c r="E144" s="1">
        <f t="shared" si="4"/>
        <v>47.607954285227066</v>
      </c>
      <c r="F144">
        <v>3.1</v>
      </c>
      <c r="G144">
        <v>108</v>
      </c>
      <c r="H144">
        <v>2.42</v>
      </c>
      <c r="I144" s="2">
        <v>3.59</v>
      </c>
      <c r="J144">
        <v>23.75</v>
      </c>
      <c r="K144" t="s">
        <v>63</v>
      </c>
      <c r="L144" s="21">
        <v>0.39</v>
      </c>
      <c r="M144" s="21">
        <v>202.95</v>
      </c>
      <c r="N144" s="21">
        <v>0.64</v>
      </c>
      <c r="O144">
        <v>3.96</v>
      </c>
      <c r="P144">
        <v>1.6324999999999998</v>
      </c>
    </row>
    <row r="145" spans="1:16" x14ac:dyDescent="0.25">
      <c r="A145">
        <v>4</v>
      </c>
      <c r="B145" t="s">
        <v>11</v>
      </c>
      <c r="C145">
        <v>2</v>
      </c>
      <c r="D145" s="1">
        <v>59.090909090909093</v>
      </c>
      <c r="E145" s="1">
        <f t="shared" si="4"/>
        <v>50.237840848194956</v>
      </c>
      <c r="F145">
        <v>2.9</v>
      </c>
      <c r="G145">
        <v>115.4</v>
      </c>
      <c r="H145">
        <v>2.41</v>
      </c>
      <c r="I145" s="2">
        <v>3.68</v>
      </c>
      <c r="J145">
        <v>23.75</v>
      </c>
      <c r="K145" t="s">
        <v>63</v>
      </c>
      <c r="L145" s="21">
        <v>0.3</v>
      </c>
      <c r="M145" s="21">
        <v>186.95</v>
      </c>
      <c r="N145" s="21">
        <v>0.89</v>
      </c>
      <c r="O145">
        <v>3.96</v>
      </c>
      <c r="P145">
        <v>1.6400000000000001</v>
      </c>
    </row>
    <row r="146" spans="1:16" x14ac:dyDescent="0.25">
      <c r="A146">
        <v>4</v>
      </c>
      <c r="B146" t="s">
        <v>11</v>
      </c>
      <c r="C146">
        <v>3</v>
      </c>
      <c r="D146" s="1">
        <v>60.416666666666657</v>
      </c>
      <c r="E146" s="1">
        <f t="shared" si="4"/>
        <v>51.012349590282909</v>
      </c>
      <c r="F146">
        <v>3.15</v>
      </c>
      <c r="G146">
        <v>145.80000000000001</v>
      </c>
      <c r="H146">
        <v>2.8</v>
      </c>
      <c r="I146" s="2">
        <v>3.63</v>
      </c>
      <c r="J146">
        <v>23.75</v>
      </c>
      <c r="K146" t="s">
        <v>63</v>
      </c>
      <c r="L146" s="21">
        <v>0.36</v>
      </c>
      <c r="M146" s="21">
        <v>176.25</v>
      </c>
      <c r="N146" s="21">
        <v>0.37</v>
      </c>
      <c r="O146">
        <v>4.0350000000000001</v>
      </c>
      <c r="P146">
        <v>1.7244999999999999</v>
      </c>
    </row>
    <row r="147" spans="1:16" x14ac:dyDescent="0.25">
      <c r="A147">
        <v>4</v>
      </c>
      <c r="B147" t="s">
        <v>12</v>
      </c>
      <c r="C147">
        <v>1</v>
      </c>
      <c r="D147" s="1">
        <v>54.166666666666657</v>
      </c>
      <c r="E147" s="1">
        <f t="shared" si="4"/>
        <v>47.390095923599567</v>
      </c>
      <c r="F147">
        <v>0.63</v>
      </c>
      <c r="G147">
        <v>149.5</v>
      </c>
      <c r="H147">
        <v>4.29</v>
      </c>
      <c r="I147" s="2">
        <v>4.0599999999999996</v>
      </c>
      <c r="J147">
        <v>23.75</v>
      </c>
      <c r="K147" t="s">
        <v>63</v>
      </c>
      <c r="L147" s="21">
        <v>0.39</v>
      </c>
      <c r="M147" s="21">
        <v>202.95</v>
      </c>
      <c r="N147" s="21">
        <v>0.64</v>
      </c>
      <c r="O147">
        <v>3.96</v>
      </c>
      <c r="P147">
        <v>1.6324999999999998</v>
      </c>
    </row>
    <row r="148" spans="1:16" x14ac:dyDescent="0.25">
      <c r="A148">
        <v>4</v>
      </c>
      <c r="B148" t="s">
        <v>12</v>
      </c>
      <c r="C148">
        <v>2</v>
      </c>
      <c r="D148" s="1">
        <v>41.666666666666671</v>
      </c>
      <c r="E148" s="1">
        <f t="shared" si="4"/>
        <v>40.202965886569778</v>
      </c>
      <c r="F148">
        <v>0.64</v>
      </c>
      <c r="G148">
        <v>148.80000000000001</v>
      </c>
      <c r="H148">
        <v>4.16</v>
      </c>
      <c r="I148" s="2">
        <v>3.93</v>
      </c>
      <c r="J148">
        <v>23.75</v>
      </c>
      <c r="K148" t="s">
        <v>63</v>
      </c>
      <c r="L148" s="21">
        <v>0.3</v>
      </c>
      <c r="M148" s="21">
        <v>186.95</v>
      </c>
      <c r="N148" s="21">
        <v>0.89</v>
      </c>
      <c r="O148">
        <v>3.96</v>
      </c>
      <c r="P148">
        <v>1.6400000000000001</v>
      </c>
    </row>
    <row r="149" spans="1:16" x14ac:dyDescent="0.25">
      <c r="A149">
        <v>4</v>
      </c>
      <c r="B149" t="s">
        <v>12</v>
      </c>
      <c r="C149">
        <v>3</v>
      </c>
      <c r="D149" s="1">
        <v>58.333333333333343</v>
      </c>
      <c r="E149" s="1">
        <f t="shared" si="4"/>
        <v>49.797034113430229</v>
      </c>
      <c r="F149">
        <v>0.71</v>
      </c>
      <c r="G149">
        <v>139.80000000000001</v>
      </c>
      <c r="H149">
        <v>5.12</v>
      </c>
      <c r="I149" s="2">
        <v>4.18</v>
      </c>
      <c r="J149">
        <v>23.75</v>
      </c>
      <c r="K149" t="s">
        <v>63</v>
      </c>
      <c r="L149" s="21">
        <v>0.36</v>
      </c>
      <c r="M149" s="21">
        <v>176.25</v>
      </c>
      <c r="N149" s="21">
        <v>0.37</v>
      </c>
      <c r="O149">
        <v>4.0350000000000001</v>
      </c>
      <c r="P149">
        <v>1.7244999999999999</v>
      </c>
    </row>
    <row r="150" spans="1:16" x14ac:dyDescent="0.25">
      <c r="A150">
        <v>4</v>
      </c>
      <c r="B150" t="s">
        <v>13</v>
      </c>
      <c r="C150">
        <v>1</v>
      </c>
      <c r="D150" s="1">
        <v>50</v>
      </c>
      <c r="E150" s="1">
        <f t="shared" si="4"/>
        <v>45.000000000000007</v>
      </c>
      <c r="F150">
        <v>0.47</v>
      </c>
      <c r="G150">
        <v>141.9</v>
      </c>
      <c r="H150">
        <v>1.2</v>
      </c>
      <c r="I150" s="2">
        <v>4.04</v>
      </c>
      <c r="J150">
        <v>23.75</v>
      </c>
      <c r="K150" t="s">
        <v>63</v>
      </c>
      <c r="L150" s="21">
        <v>0.39</v>
      </c>
      <c r="M150" s="21">
        <v>202.95</v>
      </c>
      <c r="N150" s="21">
        <v>0.64</v>
      </c>
      <c r="O150">
        <v>3.96</v>
      </c>
      <c r="P150">
        <v>1.6324999999999998</v>
      </c>
    </row>
    <row r="151" spans="1:16" x14ac:dyDescent="0.25">
      <c r="A151">
        <v>4</v>
      </c>
      <c r="B151" t="s">
        <v>13</v>
      </c>
      <c r="C151">
        <v>2</v>
      </c>
      <c r="D151" s="1">
        <v>58.333333333333343</v>
      </c>
      <c r="E151" s="1">
        <f t="shared" si="4"/>
        <v>49.797034113430229</v>
      </c>
      <c r="F151">
        <v>0.8</v>
      </c>
      <c r="G151">
        <v>109.6</v>
      </c>
      <c r="H151">
        <v>2.16</v>
      </c>
      <c r="I151" s="2">
        <v>3.87</v>
      </c>
      <c r="J151">
        <v>23.75</v>
      </c>
      <c r="K151" t="s">
        <v>63</v>
      </c>
      <c r="L151" s="21">
        <v>0.3</v>
      </c>
      <c r="M151" s="21">
        <v>186.95</v>
      </c>
      <c r="N151" s="21">
        <v>0.89</v>
      </c>
      <c r="O151">
        <v>3.96</v>
      </c>
      <c r="P151">
        <v>1.6400000000000001</v>
      </c>
    </row>
    <row r="152" spans="1:16" x14ac:dyDescent="0.25">
      <c r="A152">
        <v>4</v>
      </c>
      <c r="B152" t="s">
        <v>13</v>
      </c>
      <c r="C152">
        <v>3</v>
      </c>
      <c r="D152" s="1">
        <v>50</v>
      </c>
      <c r="E152" s="1">
        <f t="shared" si="4"/>
        <v>45.000000000000007</v>
      </c>
      <c r="F152">
        <v>0.6</v>
      </c>
      <c r="G152">
        <v>155.30000000000001</v>
      </c>
      <c r="H152">
        <v>2.12</v>
      </c>
      <c r="I152" s="2">
        <v>3.94</v>
      </c>
      <c r="J152">
        <v>23.75</v>
      </c>
      <c r="K152" t="s">
        <v>63</v>
      </c>
      <c r="L152" s="21">
        <v>0.36</v>
      </c>
      <c r="M152" s="21">
        <v>176.25</v>
      </c>
      <c r="N152" s="21">
        <v>0.37</v>
      </c>
      <c r="O152">
        <v>4.0350000000000001</v>
      </c>
      <c r="P152">
        <v>1.7244999999999999</v>
      </c>
    </row>
    <row r="153" spans="1:16" x14ac:dyDescent="0.25">
      <c r="A153">
        <v>4</v>
      </c>
      <c r="B153" t="s">
        <v>14</v>
      </c>
      <c r="C153">
        <v>1</v>
      </c>
      <c r="D153" s="1">
        <v>56.25</v>
      </c>
      <c r="E153" s="1">
        <f t="shared" si="4"/>
        <v>48.590377890729144</v>
      </c>
      <c r="F153">
        <v>0.95</v>
      </c>
      <c r="G153">
        <v>171.9</v>
      </c>
      <c r="H153">
        <v>0</v>
      </c>
      <c r="I153" s="2">
        <v>3.86</v>
      </c>
      <c r="J153">
        <v>23.75</v>
      </c>
      <c r="K153" t="s">
        <v>63</v>
      </c>
      <c r="L153" s="21">
        <v>0.39</v>
      </c>
      <c r="M153" s="21">
        <v>202.95</v>
      </c>
      <c r="N153" s="21">
        <v>0.64</v>
      </c>
      <c r="O153">
        <v>3.96</v>
      </c>
      <c r="P153">
        <v>1.6324999999999998</v>
      </c>
    </row>
    <row r="154" spans="1:16" x14ac:dyDescent="0.25">
      <c r="A154">
        <v>4</v>
      </c>
      <c r="B154" t="s">
        <v>14</v>
      </c>
      <c r="C154">
        <v>2</v>
      </c>
      <c r="D154" s="1">
        <v>54.54545454545454</v>
      </c>
      <c r="E154" s="1">
        <f t="shared" si="4"/>
        <v>47.607954285227066</v>
      </c>
      <c r="F154">
        <v>0.54</v>
      </c>
      <c r="G154">
        <v>153.30000000000001</v>
      </c>
      <c r="H154">
        <v>0</v>
      </c>
      <c r="I154" s="2">
        <v>3.91</v>
      </c>
      <c r="J154">
        <v>23.75</v>
      </c>
      <c r="K154" t="s">
        <v>63</v>
      </c>
      <c r="L154" s="21">
        <v>0.3</v>
      </c>
      <c r="M154" s="21">
        <v>186.95</v>
      </c>
      <c r="N154" s="21">
        <v>0.89</v>
      </c>
      <c r="O154">
        <v>3.96</v>
      </c>
      <c r="P154">
        <v>1.6400000000000001</v>
      </c>
    </row>
    <row r="155" spans="1:16" x14ac:dyDescent="0.25">
      <c r="A155">
        <v>4</v>
      </c>
      <c r="B155" t="s">
        <v>14</v>
      </c>
      <c r="C155">
        <v>3</v>
      </c>
      <c r="D155" s="1">
        <v>50</v>
      </c>
      <c r="E155" s="1">
        <f t="shared" si="4"/>
        <v>45.000000000000007</v>
      </c>
      <c r="F155">
        <v>0.34</v>
      </c>
      <c r="G155">
        <v>188.1</v>
      </c>
      <c r="H155">
        <v>0</v>
      </c>
      <c r="I155" s="2">
        <v>3.89</v>
      </c>
      <c r="J155">
        <v>23.75</v>
      </c>
      <c r="K155" t="s">
        <v>63</v>
      </c>
      <c r="L155" s="21">
        <v>0.36</v>
      </c>
      <c r="M155" s="21">
        <v>176.25</v>
      </c>
      <c r="N155" s="21">
        <v>0.37</v>
      </c>
      <c r="O155">
        <v>4.0350000000000001</v>
      </c>
      <c r="P155">
        <v>1.7244999999999999</v>
      </c>
    </row>
  </sheetData>
  <sortState ref="A2:P155">
    <sortCondition ref="A2:A1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"/>
  <sheetViews>
    <sheetView tabSelected="1" workbookViewId="0">
      <selection activeCell="E6" sqref="E6:E21"/>
    </sheetView>
  </sheetViews>
  <sheetFormatPr defaultRowHeight="15" x14ac:dyDescent="0.25"/>
  <cols>
    <col min="2" max="3" width="14.5703125" bestFit="1" customWidth="1"/>
    <col min="5" max="5" width="12" bestFit="1" customWidth="1"/>
    <col min="10" max="10" width="8.85546875" style="2"/>
    <col min="11" max="11" width="11.5703125" bestFit="1" customWidth="1"/>
    <col min="12" max="12" width="16.140625" bestFit="1" customWidth="1"/>
    <col min="13" max="13" width="9.85546875" bestFit="1" customWidth="1"/>
    <col min="17" max="17" width="9.7109375" bestFit="1" customWidth="1"/>
  </cols>
  <sheetData>
    <row r="1" spans="1:17" x14ac:dyDescent="0.25">
      <c r="A1" t="s">
        <v>0</v>
      </c>
      <c r="B1" t="s">
        <v>77</v>
      </c>
      <c r="C1" t="s">
        <v>1</v>
      </c>
      <c r="D1" t="s">
        <v>2</v>
      </c>
      <c r="E1" t="s">
        <v>3</v>
      </c>
      <c r="F1" t="s">
        <v>32</v>
      </c>
      <c r="G1" t="s">
        <v>27</v>
      </c>
      <c r="H1" t="s">
        <v>28</v>
      </c>
      <c r="I1" t="s">
        <v>29</v>
      </c>
      <c r="J1" s="2" t="s">
        <v>30</v>
      </c>
      <c r="K1" t="s">
        <v>35</v>
      </c>
      <c r="L1" t="s">
        <v>61</v>
      </c>
      <c r="M1" s="20" t="s">
        <v>58</v>
      </c>
      <c r="N1" s="20" t="s">
        <v>59</v>
      </c>
      <c r="O1" s="20" t="s">
        <v>60</v>
      </c>
      <c r="P1" s="20" t="s">
        <v>73</v>
      </c>
      <c r="Q1" s="20" t="s">
        <v>75</v>
      </c>
    </row>
    <row r="2" spans="1:17" x14ac:dyDescent="0.25">
      <c r="A2">
        <v>1</v>
      </c>
      <c r="B2" t="s">
        <v>4</v>
      </c>
      <c r="C2" t="s">
        <v>78</v>
      </c>
      <c r="D2">
        <v>1</v>
      </c>
      <c r="E2" s="1">
        <v>0</v>
      </c>
      <c r="F2" s="1">
        <f t="shared" ref="F2:F33" si="0">ASIN(SQRT(E2/100))*180/PI()</f>
        <v>0</v>
      </c>
      <c r="G2">
        <v>0.05</v>
      </c>
      <c r="H2">
        <v>154</v>
      </c>
      <c r="I2">
        <v>0.03</v>
      </c>
      <c r="J2" s="2">
        <v>3.74</v>
      </c>
      <c r="K2">
        <v>35</v>
      </c>
      <c r="L2" t="s">
        <v>62</v>
      </c>
      <c r="M2" s="21">
        <v>0.05</v>
      </c>
      <c r="N2" s="21">
        <f>19.6*10</f>
        <v>196</v>
      </c>
      <c r="O2" s="21">
        <v>0.15</v>
      </c>
      <c r="P2" s="4">
        <v>4.6159999999999997</v>
      </c>
      <c r="Q2">
        <v>0.69</v>
      </c>
    </row>
    <row r="3" spans="1:17" x14ac:dyDescent="0.25">
      <c r="A3">
        <v>1</v>
      </c>
      <c r="B3" t="s">
        <v>4</v>
      </c>
      <c r="C3" t="s">
        <v>78</v>
      </c>
      <c r="D3">
        <v>2</v>
      </c>
      <c r="E3" s="1">
        <v>5</v>
      </c>
      <c r="F3" s="1">
        <f t="shared" si="0"/>
        <v>12.920966381583565</v>
      </c>
      <c r="G3">
        <v>0.05</v>
      </c>
      <c r="H3">
        <v>158</v>
      </c>
      <c r="I3">
        <v>0.03</v>
      </c>
      <c r="J3" s="2">
        <v>3.79</v>
      </c>
      <c r="K3">
        <v>35</v>
      </c>
      <c r="L3" t="s">
        <v>62</v>
      </c>
      <c r="M3" s="21">
        <v>0.05</v>
      </c>
      <c r="N3" s="21">
        <f>20.2*10</f>
        <v>202</v>
      </c>
      <c r="O3" s="21">
        <v>0.03</v>
      </c>
      <c r="P3" s="4">
        <v>4.5499999999999989</v>
      </c>
      <c r="Q3">
        <v>0.56999999999999995</v>
      </c>
    </row>
    <row r="4" spans="1:17" x14ac:dyDescent="0.25">
      <c r="A4">
        <v>1</v>
      </c>
      <c r="B4" t="s">
        <v>4</v>
      </c>
      <c r="C4" t="s">
        <v>78</v>
      </c>
      <c r="D4">
        <v>3</v>
      </c>
      <c r="E4" s="1">
        <v>0</v>
      </c>
      <c r="F4" s="1">
        <f t="shared" si="0"/>
        <v>0</v>
      </c>
      <c r="G4">
        <v>0.05</v>
      </c>
      <c r="H4">
        <v>194</v>
      </c>
      <c r="I4">
        <v>0.03</v>
      </c>
      <c r="J4" s="2">
        <v>3.78</v>
      </c>
      <c r="K4">
        <v>35</v>
      </c>
      <c r="L4" t="s">
        <v>62</v>
      </c>
      <c r="M4" s="21">
        <v>0.05</v>
      </c>
      <c r="N4" s="21">
        <f>18.8*10</f>
        <v>188</v>
      </c>
      <c r="O4" s="21">
        <v>0.04</v>
      </c>
      <c r="P4" s="4">
        <v>4.596000000000001</v>
      </c>
      <c r="Q4">
        <v>0.51</v>
      </c>
    </row>
    <row r="5" spans="1:17" x14ac:dyDescent="0.25">
      <c r="A5">
        <v>1</v>
      </c>
      <c r="B5" t="s">
        <v>4</v>
      </c>
      <c r="C5" t="s">
        <v>78</v>
      </c>
      <c r="D5">
        <v>4</v>
      </c>
      <c r="E5" s="1">
        <v>5</v>
      </c>
      <c r="F5" s="1">
        <f t="shared" si="0"/>
        <v>12.920966381583565</v>
      </c>
      <c r="G5">
        <v>0.05</v>
      </c>
      <c r="H5">
        <v>170</v>
      </c>
      <c r="I5">
        <v>0.03</v>
      </c>
      <c r="J5" s="2">
        <v>3.9</v>
      </c>
      <c r="K5">
        <v>35</v>
      </c>
      <c r="L5" t="s">
        <v>62</v>
      </c>
      <c r="M5" s="21">
        <v>0.05</v>
      </c>
      <c r="N5" s="21">
        <f>20.2*10</f>
        <v>202</v>
      </c>
      <c r="O5" s="21">
        <v>0.04</v>
      </c>
      <c r="P5" s="4">
        <v>4.4700000000000006</v>
      </c>
      <c r="Q5">
        <v>0.61</v>
      </c>
    </row>
    <row r="6" spans="1:17" x14ac:dyDescent="0.25">
      <c r="A6">
        <v>1</v>
      </c>
      <c r="B6" t="s">
        <v>5</v>
      </c>
      <c r="C6" t="s">
        <v>79</v>
      </c>
      <c r="D6">
        <v>1</v>
      </c>
      <c r="E6" s="1">
        <v>55.000000000000007</v>
      </c>
      <c r="F6" s="1">
        <f t="shared" si="0"/>
        <v>47.869585238633384</v>
      </c>
      <c r="G6">
        <v>1.19</v>
      </c>
      <c r="H6">
        <v>192</v>
      </c>
      <c r="I6">
        <v>0.93</v>
      </c>
      <c r="J6" s="2">
        <v>3.67</v>
      </c>
      <c r="K6">
        <v>30</v>
      </c>
      <c r="L6" t="s">
        <v>62</v>
      </c>
      <c r="M6" s="21">
        <v>0.05</v>
      </c>
      <c r="N6" s="21">
        <f>19.6*10</f>
        <v>196</v>
      </c>
      <c r="O6" s="21">
        <v>0.15</v>
      </c>
      <c r="P6" s="4">
        <v>4.6159999999999997</v>
      </c>
      <c r="Q6">
        <v>0.69</v>
      </c>
    </row>
    <row r="7" spans="1:17" x14ac:dyDescent="0.25">
      <c r="A7">
        <v>1</v>
      </c>
      <c r="B7" t="s">
        <v>5</v>
      </c>
      <c r="C7" t="s">
        <v>79</v>
      </c>
      <c r="D7">
        <v>2</v>
      </c>
      <c r="E7" s="1">
        <v>50</v>
      </c>
      <c r="F7" s="1">
        <f t="shared" si="0"/>
        <v>45.000000000000007</v>
      </c>
      <c r="G7">
        <v>1.1299999999999999</v>
      </c>
      <c r="H7">
        <v>194</v>
      </c>
      <c r="I7">
        <v>1.5</v>
      </c>
      <c r="J7" s="2">
        <v>3.51</v>
      </c>
      <c r="K7">
        <v>30</v>
      </c>
      <c r="L7" t="s">
        <v>62</v>
      </c>
      <c r="M7" s="21">
        <v>0.05</v>
      </c>
      <c r="N7" s="21">
        <f>20.2*10</f>
        <v>202</v>
      </c>
      <c r="O7" s="21">
        <v>0.03</v>
      </c>
      <c r="P7" s="4">
        <v>4.5499999999999989</v>
      </c>
      <c r="Q7">
        <v>0.56999999999999995</v>
      </c>
    </row>
    <row r="8" spans="1:17" x14ac:dyDescent="0.25">
      <c r="A8">
        <v>1</v>
      </c>
      <c r="B8" t="s">
        <v>5</v>
      </c>
      <c r="C8" t="s">
        <v>79</v>
      </c>
      <c r="D8">
        <v>3</v>
      </c>
      <c r="E8" s="1">
        <v>50</v>
      </c>
      <c r="F8" s="1">
        <f t="shared" si="0"/>
        <v>45.000000000000007</v>
      </c>
      <c r="G8">
        <v>0.82</v>
      </c>
      <c r="H8">
        <v>191</v>
      </c>
      <c r="I8">
        <v>0.61</v>
      </c>
      <c r="J8" s="2">
        <v>3.5</v>
      </c>
      <c r="K8">
        <v>30</v>
      </c>
      <c r="L8" t="s">
        <v>62</v>
      </c>
      <c r="M8" s="21">
        <v>0.05</v>
      </c>
      <c r="N8" s="21">
        <f>18.8*10</f>
        <v>188</v>
      </c>
      <c r="O8" s="21">
        <v>0.04</v>
      </c>
      <c r="P8" s="4">
        <v>4.596000000000001</v>
      </c>
      <c r="Q8">
        <v>0.51</v>
      </c>
    </row>
    <row r="9" spans="1:17" x14ac:dyDescent="0.25">
      <c r="A9">
        <v>1</v>
      </c>
      <c r="B9" t="s">
        <v>5</v>
      </c>
      <c r="C9" t="s">
        <v>79</v>
      </c>
      <c r="D9">
        <v>4</v>
      </c>
      <c r="E9" s="1">
        <v>55.000000000000007</v>
      </c>
      <c r="F9" s="1">
        <f t="shared" si="0"/>
        <v>47.869585238633384</v>
      </c>
      <c r="G9">
        <v>2.09</v>
      </c>
      <c r="H9">
        <v>172</v>
      </c>
      <c r="I9">
        <v>0.93</v>
      </c>
      <c r="J9" s="2">
        <v>3.44</v>
      </c>
      <c r="K9">
        <v>30</v>
      </c>
      <c r="L9" t="s">
        <v>62</v>
      </c>
      <c r="M9" s="21">
        <v>0.05</v>
      </c>
      <c r="N9" s="21">
        <f>20.2*10</f>
        <v>202</v>
      </c>
      <c r="O9" s="21">
        <v>0.04</v>
      </c>
      <c r="P9" s="4">
        <v>4.4700000000000006</v>
      </c>
      <c r="Q9">
        <v>0.61</v>
      </c>
    </row>
    <row r="10" spans="1:17" x14ac:dyDescent="0.25">
      <c r="A10">
        <v>1</v>
      </c>
      <c r="B10" t="s">
        <v>17</v>
      </c>
      <c r="C10" t="s">
        <v>81</v>
      </c>
      <c r="D10">
        <v>1</v>
      </c>
      <c r="E10" s="1">
        <v>40</v>
      </c>
      <c r="F10" s="1">
        <f t="shared" si="0"/>
        <v>39.231520483592263</v>
      </c>
      <c r="G10">
        <v>0.11</v>
      </c>
      <c r="H10">
        <v>182</v>
      </c>
      <c r="I10">
        <v>0.6</v>
      </c>
      <c r="J10" s="2">
        <v>3.62</v>
      </c>
      <c r="K10">
        <v>35</v>
      </c>
      <c r="L10" t="s">
        <v>62</v>
      </c>
      <c r="M10" s="21">
        <v>0.05</v>
      </c>
      <c r="N10" s="21">
        <f>19.6*10</f>
        <v>196</v>
      </c>
      <c r="O10" s="21">
        <v>0.15</v>
      </c>
      <c r="P10" s="4">
        <v>4.6159999999999997</v>
      </c>
      <c r="Q10">
        <v>0.69</v>
      </c>
    </row>
    <row r="11" spans="1:17" x14ac:dyDescent="0.25">
      <c r="A11">
        <v>1</v>
      </c>
      <c r="B11" t="s">
        <v>17</v>
      </c>
      <c r="C11" t="s">
        <v>81</v>
      </c>
      <c r="D11">
        <v>2</v>
      </c>
      <c r="E11" s="1">
        <v>45</v>
      </c>
      <c r="F11" s="1">
        <f t="shared" si="0"/>
        <v>42.130414761366609</v>
      </c>
      <c r="G11">
        <v>0.08</v>
      </c>
      <c r="H11">
        <v>181</v>
      </c>
      <c r="I11">
        <v>0.15</v>
      </c>
      <c r="J11" s="2">
        <v>3.87</v>
      </c>
      <c r="K11">
        <v>35</v>
      </c>
      <c r="L11" t="s">
        <v>62</v>
      </c>
      <c r="M11" s="21">
        <v>0.05</v>
      </c>
      <c r="N11" s="21">
        <f>20.2*10</f>
        <v>202</v>
      </c>
      <c r="O11" s="21">
        <v>0.03</v>
      </c>
      <c r="P11" s="4">
        <v>4.5499999999999989</v>
      </c>
      <c r="Q11">
        <v>0.56999999999999995</v>
      </c>
    </row>
    <row r="12" spans="1:17" x14ac:dyDescent="0.25">
      <c r="A12">
        <v>1</v>
      </c>
      <c r="B12" t="s">
        <v>17</v>
      </c>
      <c r="C12" t="s">
        <v>81</v>
      </c>
      <c r="D12">
        <v>3</v>
      </c>
      <c r="E12" s="1">
        <v>45</v>
      </c>
      <c r="F12" s="1">
        <f t="shared" si="0"/>
        <v>42.130414761366609</v>
      </c>
      <c r="G12">
        <v>0.22</v>
      </c>
      <c r="H12">
        <v>188</v>
      </c>
      <c r="I12">
        <v>0.06</v>
      </c>
      <c r="J12" s="2">
        <v>3.74</v>
      </c>
      <c r="K12">
        <v>35</v>
      </c>
      <c r="L12" t="s">
        <v>62</v>
      </c>
      <c r="M12" s="21">
        <v>0.05</v>
      </c>
      <c r="N12" s="21">
        <f>18.8*10</f>
        <v>188</v>
      </c>
      <c r="O12" s="21">
        <v>0.04</v>
      </c>
      <c r="P12" s="4">
        <v>4.596000000000001</v>
      </c>
      <c r="Q12">
        <v>0.51</v>
      </c>
    </row>
    <row r="13" spans="1:17" x14ac:dyDescent="0.25">
      <c r="A13">
        <v>1</v>
      </c>
      <c r="B13" t="s">
        <v>17</v>
      </c>
      <c r="C13" t="s">
        <v>81</v>
      </c>
      <c r="D13">
        <v>4</v>
      </c>
      <c r="E13" s="1">
        <v>45</v>
      </c>
      <c r="F13" s="1">
        <f t="shared" si="0"/>
        <v>42.130414761366609</v>
      </c>
      <c r="G13">
        <v>0.08</v>
      </c>
      <c r="H13">
        <v>164</v>
      </c>
      <c r="I13">
        <v>0.15</v>
      </c>
      <c r="J13" s="2">
        <v>3.85</v>
      </c>
      <c r="K13">
        <v>35</v>
      </c>
      <c r="L13" t="s">
        <v>62</v>
      </c>
      <c r="M13" s="21">
        <v>0.05</v>
      </c>
      <c r="N13" s="21">
        <f>20.2*10</f>
        <v>202</v>
      </c>
      <c r="O13" s="21">
        <v>0.04</v>
      </c>
      <c r="P13" s="4">
        <v>4.4700000000000006</v>
      </c>
      <c r="Q13">
        <v>0.61</v>
      </c>
    </row>
    <row r="14" spans="1:17" x14ac:dyDescent="0.25">
      <c r="A14">
        <v>1</v>
      </c>
      <c r="B14" t="s">
        <v>6</v>
      </c>
      <c r="C14" t="s">
        <v>82</v>
      </c>
      <c r="D14">
        <v>1</v>
      </c>
      <c r="E14" s="1">
        <v>5</v>
      </c>
      <c r="F14" s="1">
        <f t="shared" si="0"/>
        <v>12.920966381583565</v>
      </c>
      <c r="G14">
        <v>0.09</v>
      </c>
      <c r="H14">
        <v>204</v>
      </c>
      <c r="I14">
        <v>0.21</v>
      </c>
      <c r="J14" s="2">
        <v>3.97</v>
      </c>
      <c r="K14">
        <v>15</v>
      </c>
      <c r="L14" t="s">
        <v>62</v>
      </c>
      <c r="M14" s="21">
        <v>0.05</v>
      </c>
      <c r="N14" s="21">
        <f>19.6*10</f>
        <v>196</v>
      </c>
      <c r="O14" s="21">
        <v>0.15</v>
      </c>
      <c r="P14" s="4">
        <v>4.6159999999999997</v>
      </c>
      <c r="Q14">
        <v>0.69</v>
      </c>
    </row>
    <row r="15" spans="1:17" x14ac:dyDescent="0.25">
      <c r="A15">
        <v>1</v>
      </c>
      <c r="B15" t="s">
        <v>6</v>
      </c>
      <c r="C15" t="s">
        <v>82</v>
      </c>
      <c r="D15">
        <v>2</v>
      </c>
      <c r="E15" s="1">
        <v>15</v>
      </c>
      <c r="F15" s="1">
        <f t="shared" si="0"/>
        <v>22.786497999597149</v>
      </c>
      <c r="G15">
        <v>0.28999999999999998</v>
      </c>
      <c r="H15">
        <v>200</v>
      </c>
      <c r="I15">
        <v>0.25</v>
      </c>
      <c r="J15" s="2">
        <v>3.93</v>
      </c>
      <c r="K15">
        <v>15</v>
      </c>
      <c r="L15" t="s">
        <v>62</v>
      </c>
      <c r="M15" s="21">
        <v>0.05</v>
      </c>
      <c r="N15" s="21">
        <f>20.2*10</f>
        <v>202</v>
      </c>
      <c r="O15" s="21">
        <v>0.03</v>
      </c>
      <c r="P15" s="4">
        <v>4.5499999999999989</v>
      </c>
      <c r="Q15">
        <v>0.56999999999999995</v>
      </c>
    </row>
    <row r="16" spans="1:17" x14ac:dyDescent="0.25">
      <c r="A16">
        <v>1</v>
      </c>
      <c r="B16" t="s">
        <v>6</v>
      </c>
      <c r="C16" t="s">
        <v>82</v>
      </c>
      <c r="D16">
        <v>3</v>
      </c>
      <c r="E16" s="1">
        <v>10</v>
      </c>
      <c r="F16" s="1">
        <f t="shared" si="0"/>
        <v>18.434948822922014</v>
      </c>
      <c r="G16">
        <v>0.05</v>
      </c>
      <c r="H16">
        <v>200</v>
      </c>
      <c r="I16">
        <v>0.25</v>
      </c>
      <c r="J16" s="2">
        <v>4</v>
      </c>
      <c r="K16">
        <v>15</v>
      </c>
      <c r="L16" t="s">
        <v>62</v>
      </c>
      <c r="M16" s="21">
        <v>0.05</v>
      </c>
      <c r="N16" s="21">
        <f>18.8*10</f>
        <v>188</v>
      </c>
      <c r="O16" s="21">
        <v>0.04</v>
      </c>
      <c r="P16" s="4">
        <v>4.596000000000001</v>
      </c>
      <c r="Q16">
        <v>0.51</v>
      </c>
    </row>
    <row r="17" spans="1:17" x14ac:dyDescent="0.25">
      <c r="A17">
        <v>1</v>
      </c>
      <c r="B17" t="s">
        <v>6</v>
      </c>
      <c r="C17" t="s">
        <v>82</v>
      </c>
      <c r="D17">
        <v>4</v>
      </c>
      <c r="E17" s="1">
        <v>5</v>
      </c>
      <c r="F17" s="1">
        <f t="shared" si="0"/>
        <v>12.920966381583565</v>
      </c>
      <c r="G17">
        <v>0.05</v>
      </c>
      <c r="H17">
        <v>194</v>
      </c>
      <c r="I17">
        <v>0.24</v>
      </c>
      <c r="J17" s="2">
        <v>3.62</v>
      </c>
      <c r="K17">
        <v>15</v>
      </c>
      <c r="L17" t="s">
        <v>62</v>
      </c>
      <c r="M17" s="21">
        <v>0.05</v>
      </c>
      <c r="N17" s="21">
        <f>20.2*10</f>
        <v>202</v>
      </c>
      <c r="O17" s="21">
        <v>0.04</v>
      </c>
      <c r="P17" s="4">
        <v>4.4700000000000006</v>
      </c>
      <c r="Q17">
        <v>0.61</v>
      </c>
    </row>
    <row r="18" spans="1:17" x14ac:dyDescent="0.25">
      <c r="A18">
        <v>1</v>
      </c>
      <c r="B18" t="s">
        <v>7</v>
      </c>
      <c r="C18" t="s">
        <v>80</v>
      </c>
      <c r="D18">
        <v>1</v>
      </c>
      <c r="E18" s="1">
        <v>25</v>
      </c>
      <c r="F18" s="1">
        <f t="shared" si="0"/>
        <v>30.000000000000004</v>
      </c>
      <c r="G18">
        <v>0.38</v>
      </c>
      <c r="H18">
        <v>161</v>
      </c>
      <c r="I18">
        <v>0.91</v>
      </c>
      <c r="J18" s="2">
        <v>3.7</v>
      </c>
      <c r="K18">
        <v>35</v>
      </c>
      <c r="L18" t="s">
        <v>62</v>
      </c>
      <c r="M18" s="21">
        <v>0.05</v>
      </c>
      <c r="N18" s="21">
        <f>19.6*10</f>
        <v>196</v>
      </c>
      <c r="O18" s="21">
        <v>0.15</v>
      </c>
      <c r="P18" s="4">
        <v>4.6159999999999997</v>
      </c>
      <c r="Q18">
        <v>0.69</v>
      </c>
    </row>
    <row r="19" spans="1:17" x14ac:dyDescent="0.25">
      <c r="A19">
        <v>1</v>
      </c>
      <c r="B19" t="s">
        <v>7</v>
      </c>
      <c r="C19" t="s">
        <v>80</v>
      </c>
      <c r="D19">
        <v>2</v>
      </c>
      <c r="E19" s="1">
        <v>45</v>
      </c>
      <c r="F19" s="1">
        <f t="shared" si="0"/>
        <v>42.130414761366609</v>
      </c>
      <c r="G19">
        <v>1.56</v>
      </c>
      <c r="H19">
        <v>152</v>
      </c>
      <c r="I19">
        <v>1.5</v>
      </c>
      <c r="J19" s="2">
        <v>3.43</v>
      </c>
      <c r="K19">
        <v>35</v>
      </c>
      <c r="L19" t="s">
        <v>62</v>
      </c>
      <c r="M19" s="21">
        <v>0.05</v>
      </c>
      <c r="N19" s="21">
        <f>20.2*10</f>
        <v>202</v>
      </c>
      <c r="O19" s="21">
        <v>0.03</v>
      </c>
      <c r="P19" s="4">
        <v>4.5499999999999989</v>
      </c>
      <c r="Q19">
        <v>0.56999999999999995</v>
      </c>
    </row>
    <row r="20" spans="1:17" x14ac:dyDescent="0.25">
      <c r="A20">
        <v>1</v>
      </c>
      <c r="B20" t="s">
        <v>7</v>
      </c>
      <c r="C20" t="s">
        <v>80</v>
      </c>
      <c r="D20">
        <v>3</v>
      </c>
      <c r="E20" s="1">
        <v>25</v>
      </c>
      <c r="F20" s="1">
        <f t="shared" si="0"/>
        <v>30.000000000000004</v>
      </c>
      <c r="G20">
        <v>0.31</v>
      </c>
      <c r="H20">
        <v>200</v>
      </c>
      <c r="I20">
        <v>0.22</v>
      </c>
      <c r="J20" s="2">
        <v>3.73</v>
      </c>
      <c r="K20">
        <v>35</v>
      </c>
      <c r="L20" t="s">
        <v>62</v>
      </c>
      <c r="M20" s="21">
        <v>0.05</v>
      </c>
      <c r="N20" s="21">
        <f>18.8*10</f>
        <v>188</v>
      </c>
      <c r="O20" s="21">
        <v>0.04</v>
      </c>
      <c r="P20" s="4">
        <v>4.596000000000001</v>
      </c>
      <c r="Q20">
        <v>0.51</v>
      </c>
    </row>
    <row r="21" spans="1:17" x14ac:dyDescent="0.25">
      <c r="A21">
        <v>1</v>
      </c>
      <c r="B21" t="s">
        <v>7</v>
      </c>
      <c r="C21" t="s">
        <v>80</v>
      </c>
      <c r="D21">
        <v>4</v>
      </c>
      <c r="E21" s="1">
        <v>25</v>
      </c>
      <c r="F21" s="1">
        <f t="shared" si="0"/>
        <v>30.000000000000004</v>
      </c>
      <c r="G21">
        <v>0.27</v>
      </c>
      <c r="H21">
        <v>202</v>
      </c>
      <c r="I21">
        <v>0.19</v>
      </c>
      <c r="J21" s="2">
        <v>3.75</v>
      </c>
      <c r="K21">
        <v>35</v>
      </c>
      <c r="L21" t="s">
        <v>62</v>
      </c>
      <c r="M21" s="21">
        <v>0.05</v>
      </c>
      <c r="N21" s="21">
        <f>20.2*10</f>
        <v>202</v>
      </c>
      <c r="O21" s="21">
        <v>0.04</v>
      </c>
      <c r="P21" s="4">
        <v>4.4700000000000006</v>
      </c>
      <c r="Q21">
        <v>0.61</v>
      </c>
    </row>
    <row r="22" spans="1:17" x14ac:dyDescent="0.25">
      <c r="A22">
        <v>1</v>
      </c>
      <c r="B22" t="s">
        <v>9</v>
      </c>
      <c r="C22" t="s">
        <v>83</v>
      </c>
      <c r="D22">
        <v>1</v>
      </c>
      <c r="E22" s="1">
        <v>5</v>
      </c>
      <c r="F22" s="1">
        <f t="shared" si="0"/>
        <v>12.920966381583565</v>
      </c>
      <c r="G22">
        <v>0.05</v>
      </c>
      <c r="H22">
        <v>172</v>
      </c>
      <c r="I22">
        <v>0.23</v>
      </c>
      <c r="J22" s="2">
        <v>3.71</v>
      </c>
      <c r="K22">
        <v>25</v>
      </c>
      <c r="L22" t="s">
        <v>62</v>
      </c>
      <c r="M22" s="21">
        <v>0.05</v>
      </c>
      <c r="N22" s="21">
        <f>19.6*10</f>
        <v>196</v>
      </c>
      <c r="O22" s="21">
        <v>0.15</v>
      </c>
      <c r="P22" s="4">
        <v>4.6159999999999997</v>
      </c>
      <c r="Q22">
        <v>0.69</v>
      </c>
    </row>
    <row r="23" spans="1:17" x14ac:dyDescent="0.25">
      <c r="A23">
        <v>1</v>
      </c>
      <c r="B23" t="s">
        <v>9</v>
      </c>
      <c r="C23" t="s">
        <v>83</v>
      </c>
      <c r="D23">
        <v>2</v>
      </c>
      <c r="E23" s="1">
        <v>5</v>
      </c>
      <c r="F23" s="1">
        <f t="shared" si="0"/>
        <v>12.920966381583565</v>
      </c>
      <c r="G23">
        <v>0.05</v>
      </c>
      <c r="H23">
        <v>188</v>
      </c>
      <c r="I23">
        <v>0.22</v>
      </c>
      <c r="J23" s="2">
        <v>3.84</v>
      </c>
      <c r="K23">
        <v>25</v>
      </c>
      <c r="L23" t="s">
        <v>62</v>
      </c>
      <c r="M23" s="21">
        <v>0.05</v>
      </c>
      <c r="N23" s="21">
        <f>20.2*10</f>
        <v>202</v>
      </c>
      <c r="O23" s="21">
        <v>0.03</v>
      </c>
      <c r="P23" s="4">
        <v>4.5499999999999989</v>
      </c>
      <c r="Q23">
        <v>0.56999999999999995</v>
      </c>
    </row>
    <row r="24" spans="1:17" x14ac:dyDescent="0.25">
      <c r="A24">
        <v>1</v>
      </c>
      <c r="B24" t="s">
        <v>9</v>
      </c>
      <c r="C24" t="s">
        <v>83</v>
      </c>
      <c r="D24">
        <v>3</v>
      </c>
      <c r="E24" s="1">
        <v>0</v>
      </c>
      <c r="F24" s="1">
        <f t="shared" si="0"/>
        <v>0</v>
      </c>
      <c r="G24">
        <v>0.06</v>
      </c>
      <c r="H24">
        <v>196</v>
      </c>
      <c r="I24">
        <v>0.27</v>
      </c>
      <c r="J24" s="2">
        <v>3.8</v>
      </c>
      <c r="K24">
        <v>25</v>
      </c>
      <c r="L24" t="s">
        <v>62</v>
      </c>
      <c r="M24" s="21">
        <v>0.05</v>
      </c>
      <c r="N24" s="21">
        <f>18.8*10</f>
        <v>188</v>
      </c>
      <c r="O24" s="21">
        <v>0.04</v>
      </c>
      <c r="P24" s="4">
        <v>4.596000000000001</v>
      </c>
      <c r="Q24">
        <v>0.51</v>
      </c>
    </row>
    <row r="25" spans="1:17" x14ac:dyDescent="0.25">
      <c r="A25">
        <v>1</v>
      </c>
      <c r="B25" t="s">
        <v>9</v>
      </c>
      <c r="C25" t="s">
        <v>83</v>
      </c>
      <c r="D25">
        <v>4</v>
      </c>
      <c r="E25" s="1">
        <v>0</v>
      </c>
      <c r="F25" s="1">
        <f t="shared" si="0"/>
        <v>0</v>
      </c>
      <c r="G25">
        <v>0.05</v>
      </c>
      <c r="H25">
        <v>174</v>
      </c>
      <c r="I25">
        <v>0.26</v>
      </c>
      <c r="J25" s="2">
        <v>3.93</v>
      </c>
      <c r="K25">
        <v>25</v>
      </c>
      <c r="L25" t="s">
        <v>62</v>
      </c>
      <c r="M25" s="21">
        <v>0.05</v>
      </c>
      <c r="N25" s="21">
        <f>20.2*10</f>
        <v>202</v>
      </c>
      <c r="O25" s="21">
        <v>0.04</v>
      </c>
      <c r="P25" s="4">
        <v>4.4700000000000006</v>
      </c>
      <c r="Q25">
        <v>0.61</v>
      </c>
    </row>
    <row r="26" spans="1:17" x14ac:dyDescent="0.25">
      <c r="A26">
        <v>1</v>
      </c>
      <c r="B26" t="s">
        <v>10</v>
      </c>
      <c r="C26" t="s">
        <v>84</v>
      </c>
      <c r="D26">
        <v>1</v>
      </c>
      <c r="E26" s="1">
        <v>0</v>
      </c>
      <c r="F26" s="1">
        <f t="shared" si="0"/>
        <v>0</v>
      </c>
      <c r="G26">
        <v>0.05</v>
      </c>
      <c r="H26">
        <v>190</v>
      </c>
      <c r="I26">
        <v>0.42</v>
      </c>
      <c r="J26" s="2">
        <v>3.81</v>
      </c>
      <c r="K26">
        <v>20</v>
      </c>
      <c r="L26" t="s">
        <v>62</v>
      </c>
      <c r="M26" s="21">
        <v>0.05</v>
      </c>
      <c r="N26" s="21">
        <f>19.6*10</f>
        <v>196</v>
      </c>
      <c r="O26" s="21">
        <v>0.15</v>
      </c>
      <c r="P26" s="4">
        <v>4.6159999999999997</v>
      </c>
      <c r="Q26">
        <v>0.69</v>
      </c>
    </row>
    <row r="27" spans="1:17" x14ac:dyDescent="0.25">
      <c r="A27">
        <v>1</v>
      </c>
      <c r="B27" t="s">
        <v>10</v>
      </c>
      <c r="C27" t="s">
        <v>84</v>
      </c>
      <c r="D27">
        <v>2</v>
      </c>
      <c r="E27" s="1">
        <v>5</v>
      </c>
      <c r="F27" s="1">
        <f t="shared" si="0"/>
        <v>12.920966381583565</v>
      </c>
      <c r="G27">
        <v>0.05</v>
      </c>
      <c r="H27">
        <v>200</v>
      </c>
      <c r="I27">
        <v>0.28000000000000003</v>
      </c>
      <c r="J27" s="2">
        <v>3.91</v>
      </c>
      <c r="K27">
        <v>20</v>
      </c>
      <c r="L27" t="s">
        <v>62</v>
      </c>
      <c r="M27" s="21">
        <v>0.05</v>
      </c>
      <c r="N27" s="21">
        <f>20.2*10</f>
        <v>202</v>
      </c>
      <c r="O27" s="21">
        <v>0.03</v>
      </c>
      <c r="P27" s="4">
        <v>4.5499999999999989</v>
      </c>
      <c r="Q27">
        <v>0.56999999999999995</v>
      </c>
    </row>
    <row r="28" spans="1:17" x14ac:dyDescent="0.25">
      <c r="A28">
        <v>1</v>
      </c>
      <c r="B28" t="s">
        <v>10</v>
      </c>
      <c r="C28" t="s">
        <v>84</v>
      </c>
      <c r="D28">
        <v>3</v>
      </c>
      <c r="E28" s="1">
        <v>10</v>
      </c>
      <c r="F28" s="1">
        <f t="shared" si="0"/>
        <v>18.434948822922014</v>
      </c>
      <c r="G28">
        <v>0.05</v>
      </c>
      <c r="H28">
        <v>198</v>
      </c>
      <c r="I28">
        <v>0.26</v>
      </c>
      <c r="J28" s="2">
        <v>3.89</v>
      </c>
      <c r="K28">
        <v>20</v>
      </c>
      <c r="L28" t="s">
        <v>62</v>
      </c>
      <c r="M28" s="21">
        <v>0.05</v>
      </c>
      <c r="N28" s="21">
        <f>18.8*10</f>
        <v>188</v>
      </c>
      <c r="O28" s="21">
        <v>0.04</v>
      </c>
      <c r="P28" s="4">
        <v>4.596000000000001</v>
      </c>
      <c r="Q28">
        <v>0.51</v>
      </c>
    </row>
    <row r="29" spans="1:17" x14ac:dyDescent="0.25">
      <c r="A29">
        <v>1</v>
      </c>
      <c r="B29" t="s">
        <v>10</v>
      </c>
      <c r="C29" t="s">
        <v>84</v>
      </c>
      <c r="D29">
        <v>4</v>
      </c>
      <c r="E29" s="1">
        <v>10</v>
      </c>
      <c r="F29" s="1">
        <f t="shared" si="0"/>
        <v>18.434948822922014</v>
      </c>
      <c r="G29">
        <v>0.05</v>
      </c>
      <c r="H29">
        <v>192</v>
      </c>
      <c r="I29">
        <v>0.28000000000000003</v>
      </c>
      <c r="J29" s="2">
        <v>4.13</v>
      </c>
      <c r="K29">
        <v>20</v>
      </c>
      <c r="L29" t="s">
        <v>62</v>
      </c>
      <c r="M29" s="21">
        <v>0.05</v>
      </c>
      <c r="N29" s="21">
        <f>20.2*10</f>
        <v>202</v>
      </c>
      <c r="O29" s="21">
        <v>0.04</v>
      </c>
      <c r="P29" s="4">
        <v>4.4700000000000006</v>
      </c>
      <c r="Q29">
        <v>0.61</v>
      </c>
    </row>
    <row r="30" spans="1:17" x14ac:dyDescent="0.25">
      <c r="A30">
        <v>1</v>
      </c>
      <c r="B30" t="s">
        <v>11</v>
      </c>
      <c r="C30" t="s">
        <v>85</v>
      </c>
      <c r="D30">
        <v>1</v>
      </c>
      <c r="E30" s="1">
        <v>50</v>
      </c>
      <c r="F30" s="1">
        <f t="shared" si="0"/>
        <v>45.000000000000007</v>
      </c>
      <c r="G30">
        <v>0.57999999999999996</v>
      </c>
      <c r="H30">
        <v>148</v>
      </c>
      <c r="I30">
        <v>0.2</v>
      </c>
      <c r="J30" s="2">
        <v>3.82</v>
      </c>
      <c r="K30">
        <v>35</v>
      </c>
      <c r="L30" t="s">
        <v>62</v>
      </c>
      <c r="M30" s="21">
        <v>0.05</v>
      </c>
      <c r="N30" s="21">
        <f>19.6*10</f>
        <v>196</v>
      </c>
      <c r="O30" s="21">
        <v>0.15</v>
      </c>
      <c r="P30" s="4">
        <v>4.6159999999999997</v>
      </c>
      <c r="Q30">
        <v>0.69</v>
      </c>
    </row>
    <row r="31" spans="1:17" x14ac:dyDescent="0.25">
      <c r="A31">
        <v>1</v>
      </c>
      <c r="B31" t="s">
        <v>11</v>
      </c>
      <c r="C31" t="s">
        <v>85</v>
      </c>
      <c r="D31">
        <v>2</v>
      </c>
      <c r="E31" s="1">
        <v>30</v>
      </c>
      <c r="F31" s="1">
        <f t="shared" si="0"/>
        <v>33.210910760899083</v>
      </c>
      <c r="G31">
        <v>0.49</v>
      </c>
      <c r="H31">
        <v>170</v>
      </c>
      <c r="I31">
        <v>0.28000000000000003</v>
      </c>
      <c r="J31" s="2">
        <v>3.33</v>
      </c>
      <c r="K31">
        <v>35</v>
      </c>
      <c r="L31" t="s">
        <v>62</v>
      </c>
      <c r="M31" s="21">
        <v>0.05</v>
      </c>
      <c r="N31" s="21">
        <f>20.2*10</f>
        <v>202</v>
      </c>
      <c r="O31" s="21">
        <v>0.03</v>
      </c>
      <c r="P31" s="4">
        <v>4.5499999999999989</v>
      </c>
      <c r="Q31">
        <v>0.56999999999999995</v>
      </c>
    </row>
    <row r="32" spans="1:17" x14ac:dyDescent="0.25">
      <c r="A32">
        <v>1</v>
      </c>
      <c r="B32" t="s">
        <v>11</v>
      </c>
      <c r="C32" t="s">
        <v>85</v>
      </c>
      <c r="D32">
        <v>3</v>
      </c>
      <c r="E32" s="1">
        <v>25</v>
      </c>
      <c r="F32" s="1">
        <f t="shared" si="0"/>
        <v>30.000000000000004</v>
      </c>
      <c r="G32">
        <v>0.14000000000000001</v>
      </c>
      <c r="H32">
        <v>120</v>
      </c>
      <c r="I32">
        <v>0.22</v>
      </c>
      <c r="J32" s="2">
        <v>3.74</v>
      </c>
      <c r="K32">
        <v>35</v>
      </c>
      <c r="L32" t="s">
        <v>62</v>
      </c>
      <c r="M32" s="21">
        <v>0.05</v>
      </c>
      <c r="N32" s="21">
        <f>18.8*10</f>
        <v>188</v>
      </c>
      <c r="O32" s="21">
        <v>0.04</v>
      </c>
      <c r="P32" s="4">
        <v>4.596000000000001</v>
      </c>
      <c r="Q32">
        <v>0.51</v>
      </c>
    </row>
    <row r="33" spans="1:17" x14ac:dyDescent="0.25">
      <c r="A33">
        <v>1</v>
      </c>
      <c r="B33" t="s">
        <v>11</v>
      </c>
      <c r="C33" t="s">
        <v>85</v>
      </c>
      <c r="D33">
        <v>4</v>
      </c>
      <c r="E33" s="1">
        <v>20</v>
      </c>
      <c r="F33" s="1">
        <f t="shared" si="0"/>
        <v>26.56505117707799</v>
      </c>
      <c r="G33">
        <v>0.05</v>
      </c>
      <c r="H33">
        <v>146</v>
      </c>
      <c r="I33">
        <v>0.26</v>
      </c>
      <c r="J33" s="2">
        <v>3.51</v>
      </c>
      <c r="K33">
        <v>35</v>
      </c>
      <c r="L33" t="s">
        <v>62</v>
      </c>
      <c r="M33" s="21">
        <v>0.05</v>
      </c>
      <c r="N33" s="21">
        <f>20.2*10</f>
        <v>202</v>
      </c>
      <c r="O33" s="21">
        <v>0.04</v>
      </c>
      <c r="P33" s="4">
        <v>4.4700000000000006</v>
      </c>
      <c r="Q33">
        <v>0.61</v>
      </c>
    </row>
    <row r="34" spans="1:17" x14ac:dyDescent="0.25">
      <c r="A34">
        <v>1</v>
      </c>
      <c r="B34" t="s">
        <v>12</v>
      </c>
      <c r="C34" t="s">
        <v>86</v>
      </c>
      <c r="D34">
        <v>1</v>
      </c>
      <c r="E34" s="1">
        <v>45</v>
      </c>
      <c r="F34" s="1">
        <f t="shared" ref="F34:F65" si="1">ASIN(SQRT(E34/100))*180/PI()</f>
        <v>42.130414761366609</v>
      </c>
      <c r="G34">
        <v>0.61</v>
      </c>
      <c r="H34">
        <v>126</v>
      </c>
      <c r="I34">
        <v>0.81</v>
      </c>
      <c r="J34" s="2">
        <v>4.0199999999999996</v>
      </c>
      <c r="K34">
        <v>30</v>
      </c>
      <c r="L34" t="s">
        <v>62</v>
      </c>
      <c r="M34" s="21">
        <v>0.05</v>
      </c>
      <c r="N34" s="21">
        <f>19.6*10</f>
        <v>196</v>
      </c>
      <c r="O34" s="21">
        <v>0.15</v>
      </c>
      <c r="P34" s="4">
        <v>4.6159999999999997</v>
      </c>
      <c r="Q34">
        <v>0.69</v>
      </c>
    </row>
    <row r="35" spans="1:17" x14ac:dyDescent="0.25">
      <c r="A35">
        <v>1</v>
      </c>
      <c r="B35" t="s">
        <v>12</v>
      </c>
      <c r="C35" t="s">
        <v>86</v>
      </c>
      <c r="D35">
        <v>2</v>
      </c>
      <c r="E35" s="1">
        <v>60</v>
      </c>
      <c r="F35" s="1">
        <f t="shared" si="1"/>
        <v>50.768479516407751</v>
      </c>
      <c r="G35">
        <v>0.9</v>
      </c>
      <c r="H35">
        <v>156</v>
      </c>
      <c r="I35">
        <v>1.23</v>
      </c>
      <c r="J35" s="2">
        <v>3.82</v>
      </c>
      <c r="K35">
        <v>30</v>
      </c>
      <c r="L35" t="s">
        <v>62</v>
      </c>
      <c r="M35" s="21">
        <v>0.05</v>
      </c>
      <c r="N35" s="21">
        <f>20.2*10</f>
        <v>202</v>
      </c>
      <c r="O35" s="21">
        <v>0.03</v>
      </c>
      <c r="P35" s="4">
        <v>4.5499999999999989</v>
      </c>
      <c r="Q35">
        <v>0.56999999999999995</v>
      </c>
    </row>
    <row r="36" spans="1:17" x14ac:dyDescent="0.25">
      <c r="A36">
        <v>1</v>
      </c>
      <c r="B36" t="s">
        <v>12</v>
      </c>
      <c r="C36" t="s">
        <v>86</v>
      </c>
      <c r="D36">
        <v>3</v>
      </c>
      <c r="E36" s="1">
        <v>50</v>
      </c>
      <c r="F36" s="1">
        <f t="shared" si="1"/>
        <v>45.000000000000007</v>
      </c>
      <c r="G36">
        <v>1.51</v>
      </c>
      <c r="H36">
        <v>136</v>
      </c>
      <c r="I36">
        <v>1.02</v>
      </c>
      <c r="J36" s="2">
        <v>3.71</v>
      </c>
      <c r="K36">
        <v>30</v>
      </c>
      <c r="L36" t="s">
        <v>62</v>
      </c>
      <c r="M36" s="21">
        <v>0.05</v>
      </c>
      <c r="N36" s="21">
        <f>18.8*10</f>
        <v>188</v>
      </c>
      <c r="O36" s="21">
        <v>0.04</v>
      </c>
      <c r="P36" s="4">
        <v>4.596000000000001</v>
      </c>
      <c r="Q36">
        <v>0.51</v>
      </c>
    </row>
    <row r="37" spans="1:17" x14ac:dyDescent="0.25">
      <c r="A37">
        <v>1</v>
      </c>
      <c r="B37" t="s">
        <v>12</v>
      </c>
      <c r="C37" t="s">
        <v>86</v>
      </c>
      <c r="D37">
        <v>4</v>
      </c>
      <c r="E37" s="1">
        <v>55.000000000000007</v>
      </c>
      <c r="F37" s="1">
        <f t="shared" si="1"/>
        <v>47.869585238633384</v>
      </c>
      <c r="G37">
        <v>0.89</v>
      </c>
      <c r="H37">
        <v>110</v>
      </c>
      <c r="I37">
        <v>1.22</v>
      </c>
      <c r="J37" s="2">
        <v>3.95</v>
      </c>
      <c r="K37">
        <v>30</v>
      </c>
      <c r="L37" t="s">
        <v>62</v>
      </c>
      <c r="M37" s="21">
        <v>0.05</v>
      </c>
      <c r="N37" s="21">
        <f>20.2*10</f>
        <v>202</v>
      </c>
      <c r="O37" s="21">
        <v>0.04</v>
      </c>
      <c r="P37" s="4">
        <v>4.4700000000000006</v>
      </c>
      <c r="Q37">
        <v>0.61</v>
      </c>
    </row>
    <row r="38" spans="1:17" x14ac:dyDescent="0.25">
      <c r="A38">
        <v>1</v>
      </c>
      <c r="B38" t="s">
        <v>13</v>
      </c>
      <c r="C38" t="s">
        <v>87</v>
      </c>
      <c r="D38">
        <v>1</v>
      </c>
      <c r="E38" s="1">
        <v>40</v>
      </c>
      <c r="F38" s="1">
        <f t="shared" si="1"/>
        <v>39.231520483592263</v>
      </c>
      <c r="G38">
        <v>0.12</v>
      </c>
      <c r="H38">
        <v>184</v>
      </c>
      <c r="I38">
        <v>0.33</v>
      </c>
      <c r="J38" s="2">
        <v>3.56</v>
      </c>
      <c r="K38">
        <v>35</v>
      </c>
      <c r="L38" t="s">
        <v>62</v>
      </c>
      <c r="M38" s="21">
        <v>0.05</v>
      </c>
      <c r="N38" s="21">
        <f>19.6*10</f>
        <v>196</v>
      </c>
      <c r="O38" s="21">
        <v>0.15</v>
      </c>
      <c r="P38" s="4">
        <v>4.6159999999999997</v>
      </c>
      <c r="Q38">
        <v>0.69</v>
      </c>
    </row>
    <row r="39" spans="1:17" x14ac:dyDescent="0.25">
      <c r="A39">
        <v>1</v>
      </c>
      <c r="B39" t="s">
        <v>13</v>
      </c>
      <c r="C39" t="s">
        <v>87</v>
      </c>
      <c r="D39">
        <v>2</v>
      </c>
      <c r="E39" s="1">
        <v>30</v>
      </c>
      <c r="F39" s="1">
        <f t="shared" si="1"/>
        <v>33.210910760899083</v>
      </c>
      <c r="G39">
        <v>0.1</v>
      </c>
      <c r="H39">
        <v>164</v>
      </c>
      <c r="I39">
        <v>0.41</v>
      </c>
      <c r="J39" s="2">
        <v>3.9</v>
      </c>
      <c r="K39">
        <v>35</v>
      </c>
      <c r="L39" t="s">
        <v>62</v>
      </c>
      <c r="M39" s="21">
        <v>0.05</v>
      </c>
      <c r="N39" s="21">
        <f>20.2*10</f>
        <v>202</v>
      </c>
      <c r="O39" s="21">
        <v>0.03</v>
      </c>
      <c r="P39" s="4">
        <v>4.5499999999999989</v>
      </c>
      <c r="Q39">
        <v>0.56999999999999995</v>
      </c>
    </row>
    <row r="40" spans="1:17" x14ac:dyDescent="0.25">
      <c r="A40">
        <v>1</v>
      </c>
      <c r="B40" t="s">
        <v>13</v>
      </c>
      <c r="C40" t="s">
        <v>87</v>
      </c>
      <c r="D40">
        <v>3</v>
      </c>
      <c r="E40" s="1">
        <v>30</v>
      </c>
      <c r="F40" s="1">
        <f t="shared" si="1"/>
        <v>33.210910760899083</v>
      </c>
      <c r="G40">
        <v>0.12</v>
      </c>
      <c r="H40">
        <v>160</v>
      </c>
      <c r="I40">
        <v>0.28000000000000003</v>
      </c>
      <c r="J40" s="2">
        <v>3.97</v>
      </c>
      <c r="K40">
        <v>35</v>
      </c>
      <c r="L40" t="s">
        <v>62</v>
      </c>
      <c r="M40" s="21">
        <v>0.05</v>
      </c>
      <c r="N40" s="21">
        <f>18.8*10</f>
        <v>188</v>
      </c>
      <c r="O40" s="21">
        <v>0.04</v>
      </c>
      <c r="P40" s="4">
        <v>4.596000000000001</v>
      </c>
      <c r="Q40">
        <v>0.51</v>
      </c>
    </row>
    <row r="41" spans="1:17" x14ac:dyDescent="0.25">
      <c r="A41">
        <v>1</v>
      </c>
      <c r="B41" t="s">
        <v>13</v>
      </c>
      <c r="C41" t="s">
        <v>87</v>
      </c>
      <c r="D41">
        <v>4</v>
      </c>
      <c r="E41" s="1">
        <v>25</v>
      </c>
      <c r="F41" s="1">
        <f t="shared" si="1"/>
        <v>30.000000000000004</v>
      </c>
      <c r="G41">
        <v>0.14000000000000001</v>
      </c>
      <c r="H41">
        <v>158</v>
      </c>
      <c r="I41">
        <v>0.36</v>
      </c>
      <c r="J41" s="2">
        <v>3.99</v>
      </c>
      <c r="K41">
        <v>35</v>
      </c>
      <c r="L41" t="s">
        <v>62</v>
      </c>
      <c r="M41" s="21">
        <v>0.05</v>
      </c>
      <c r="N41" s="21">
        <f>20.2*10</f>
        <v>202</v>
      </c>
      <c r="O41" s="21">
        <v>0.04</v>
      </c>
      <c r="P41" s="4">
        <v>4.4700000000000006</v>
      </c>
      <c r="Q41">
        <v>0.61</v>
      </c>
    </row>
    <row r="42" spans="1:17" x14ac:dyDescent="0.25">
      <c r="A42">
        <v>1</v>
      </c>
      <c r="B42" t="s">
        <v>14</v>
      </c>
      <c r="C42" t="s">
        <v>88</v>
      </c>
      <c r="D42">
        <v>1</v>
      </c>
      <c r="E42" s="1">
        <v>10</v>
      </c>
      <c r="F42" s="1">
        <f t="shared" si="1"/>
        <v>18.434948822922014</v>
      </c>
      <c r="G42">
        <v>7.0000000000000007E-2</v>
      </c>
      <c r="H42">
        <v>202</v>
      </c>
      <c r="I42">
        <v>0.37</v>
      </c>
      <c r="J42" s="2">
        <v>4.0599999999999996</v>
      </c>
      <c r="K42">
        <v>35</v>
      </c>
      <c r="L42" t="s">
        <v>62</v>
      </c>
      <c r="M42" s="21">
        <v>0.05</v>
      </c>
      <c r="N42" s="21">
        <f>19.6*10</f>
        <v>196</v>
      </c>
      <c r="O42" s="21">
        <v>0.15</v>
      </c>
      <c r="P42" s="4">
        <v>4.6159999999999997</v>
      </c>
      <c r="Q42">
        <v>0.69</v>
      </c>
    </row>
    <row r="43" spans="1:17" x14ac:dyDescent="0.25">
      <c r="A43">
        <v>1</v>
      </c>
      <c r="B43" t="s">
        <v>14</v>
      </c>
      <c r="C43" t="s">
        <v>88</v>
      </c>
      <c r="D43">
        <v>2</v>
      </c>
      <c r="E43" s="1">
        <v>15</v>
      </c>
      <c r="F43" s="1">
        <f t="shared" si="1"/>
        <v>22.786497999597149</v>
      </c>
      <c r="G43">
        <v>0.05</v>
      </c>
      <c r="H43">
        <v>184</v>
      </c>
      <c r="I43">
        <v>0.42</v>
      </c>
      <c r="J43" s="2">
        <v>3.94</v>
      </c>
      <c r="K43">
        <v>35</v>
      </c>
      <c r="L43" t="s">
        <v>62</v>
      </c>
      <c r="M43" s="21">
        <v>0.05</v>
      </c>
      <c r="N43" s="21">
        <f>20.2*10</f>
        <v>202</v>
      </c>
      <c r="O43" s="21">
        <v>0.03</v>
      </c>
      <c r="P43" s="4">
        <v>4.5499999999999989</v>
      </c>
      <c r="Q43">
        <v>0.56999999999999995</v>
      </c>
    </row>
    <row r="44" spans="1:17" x14ac:dyDescent="0.25">
      <c r="A44">
        <v>1</v>
      </c>
      <c r="B44" t="s">
        <v>14</v>
      </c>
      <c r="C44" t="s">
        <v>88</v>
      </c>
      <c r="D44">
        <v>3</v>
      </c>
      <c r="E44" s="1">
        <v>15</v>
      </c>
      <c r="F44" s="1">
        <f t="shared" si="1"/>
        <v>22.786497999597149</v>
      </c>
      <c r="G44">
        <v>0.06</v>
      </c>
      <c r="H44">
        <v>190</v>
      </c>
      <c r="I44">
        <v>0.41</v>
      </c>
      <c r="J44" s="2">
        <v>3.67</v>
      </c>
      <c r="K44">
        <v>35</v>
      </c>
      <c r="L44" t="s">
        <v>62</v>
      </c>
      <c r="M44" s="21">
        <v>0.05</v>
      </c>
      <c r="N44" s="21">
        <f>18.8*10</f>
        <v>188</v>
      </c>
      <c r="O44" s="21">
        <v>0.04</v>
      </c>
      <c r="P44" s="4">
        <v>4.596000000000001</v>
      </c>
      <c r="Q44">
        <v>0.51</v>
      </c>
    </row>
    <row r="45" spans="1:17" x14ac:dyDescent="0.25">
      <c r="A45">
        <v>1</v>
      </c>
      <c r="B45" t="s">
        <v>14</v>
      </c>
      <c r="C45" t="s">
        <v>88</v>
      </c>
      <c r="D45">
        <v>4</v>
      </c>
      <c r="E45" s="1">
        <v>5</v>
      </c>
      <c r="F45" s="1">
        <f t="shared" si="1"/>
        <v>12.920966381583565</v>
      </c>
      <c r="G45">
        <v>0.05</v>
      </c>
      <c r="H45">
        <v>178</v>
      </c>
      <c r="I45">
        <v>0.44</v>
      </c>
      <c r="J45" s="2">
        <v>3.92</v>
      </c>
      <c r="K45">
        <v>35</v>
      </c>
      <c r="L45" t="s">
        <v>62</v>
      </c>
      <c r="M45" s="21">
        <v>0.05</v>
      </c>
      <c r="N45" s="21">
        <f>20.2*10</f>
        <v>202</v>
      </c>
      <c r="O45" s="21">
        <v>0.04</v>
      </c>
      <c r="P45" s="4">
        <v>4.4700000000000006</v>
      </c>
      <c r="Q45">
        <v>0.61</v>
      </c>
    </row>
    <row r="46" spans="1:17" x14ac:dyDescent="0.25">
      <c r="A46">
        <v>2</v>
      </c>
      <c r="B46" t="s">
        <v>4</v>
      </c>
      <c r="C46" t="s">
        <v>78</v>
      </c>
      <c r="D46">
        <v>1</v>
      </c>
      <c r="E46" s="1">
        <v>40</v>
      </c>
      <c r="F46" s="1">
        <f t="shared" si="1"/>
        <v>39.231520483592263</v>
      </c>
      <c r="G46">
        <v>0.14000000000000001</v>
      </c>
      <c r="H46">
        <v>161</v>
      </c>
      <c r="I46">
        <v>0.2</v>
      </c>
      <c r="J46" s="2">
        <v>3.71</v>
      </c>
      <c r="K46">
        <v>35</v>
      </c>
      <c r="L46" t="s">
        <v>62</v>
      </c>
      <c r="M46" s="21">
        <v>0.05</v>
      </c>
      <c r="N46" s="21">
        <f>18*10</f>
        <v>180</v>
      </c>
      <c r="O46" s="21">
        <v>0.19</v>
      </c>
      <c r="P46" s="4">
        <v>4.6780000000000008</v>
      </c>
      <c r="Q46">
        <v>0.56999999999999995</v>
      </c>
    </row>
    <row r="47" spans="1:17" x14ac:dyDescent="0.25">
      <c r="A47">
        <v>2</v>
      </c>
      <c r="B47" t="s">
        <v>4</v>
      </c>
      <c r="C47" t="s">
        <v>78</v>
      </c>
      <c r="D47">
        <v>2</v>
      </c>
      <c r="E47" s="1">
        <v>10</v>
      </c>
      <c r="F47" s="1">
        <f t="shared" si="1"/>
        <v>18.434948822922014</v>
      </c>
      <c r="G47">
        <v>0.1</v>
      </c>
      <c r="H47">
        <v>164</v>
      </c>
      <c r="I47">
        <v>0.16</v>
      </c>
      <c r="J47" s="2">
        <v>3.9</v>
      </c>
      <c r="K47">
        <v>35</v>
      </c>
      <c r="L47" t="s">
        <v>62</v>
      </c>
      <c r="M47" s="21">
        <v>0.05</v>
      </c>
      <c r="N47" s="21">
        <f>17.4*10</f>
        <v>174</v>
      </c>
      <c r="O47" s="21">
        <v>0.21</v>
      </c>
      <c r="P47" s="4">
        <v>4.6879999999999997</v>
      </c>
      <c r="Q47">
        <v>0.62</v>
      </c>
    </row>
    <row r="48" spans="1:17" x14ac:dyDescent="0.25">
      <c r="A48">
        <v>2</v>
      </c>
      <c r="B48" t="s">
        <v>4</v>
      </c>
      <c r="C48" t="s">
        <v>78</v>
      </c>
      <c r="D48">
        <v>3</v>
      </c>
      <c r="E48" s="1">
        <v>5</v>
      </c>
      <c r="F48" s="1">
        <f t="shared" si="1"/>
        <v>12.920966381583565</v>
      </c>
      <c r="G48">
        <v>0.05</v>
      </c>
      <c r="H48">
        <v>170</v>
      </c>
      <c r="I48">
        <v>0.05</v>
      </c>
      <c r="J48" s="2">
        <v>3.63</v>
      </c>
      <c r="K48">
        <v>35</v>
      </c>
      <c r="L48" t="s">
        <v>62</v>
      </c>
      <c r="M48" s="21">
        <v>0.05</v>
      </c>
      <c r="N48" s="21">
        <f>14.2*10</f>
        <v>142</v>
      </c>
      <c r="O48" s="21">
        <v>0.09</v>
      </c>
      <c r="P48" s="4">
        <v>4.9480000000000004</v>
      </c>
      <c r="Q48">
        <v>0.85</v>
      </c>
    </row>
    <row r="49" spans="1:17" x14ac:dyDescent="0.25">
      <c r="A49">
        <v>2</v>
      </c>
      <c r="B49" t="s">
        <v>4</v>
      </c>
      <c r="C49" t="s">
        <v>78</v>
      </c>
      <c r="D49">
        <v>4</v>
      </c>
      <c r="E49" s="1">
        <v>15</v>
      </c>
      <c r="F49" s="1">
        <f t="shared" si="1"/>
        <v>22.786497999597149</v>
      </c>
      <c r="G49">
        <v>0.11</v>
      </c>
      <c r="H49">
        <v>154</v>
      </c>
      <c r="I49">
        <v>0.06</v>
      </c>
      <c r="J49" s="2">
        <v>3.71</v>
      </c>
      <c r="K49">
        <v>35</v>
      </c>
      <c r="L49" t="s">
        <v>62</v>
      </c>
      <c r="M49" s="21">
        <v>0.05</v>
      </c>
      <c r="N49" s="21">
        <f>14.2*10</f>
        <v>142</v>
      </c>
      <c r="O49" s="21">
        <v>0.15</v>
      </c>
      <c r="P49" s="4">
        <v>4.8439999999999994</v>
      </c>
      <c r="Q49">
        <v>0.7</v>
      </c>
    </row>
    <row r="50" spans="1:17" x14ac:dyDescent="0.25">
      <c r="A50">
        <v>2</v>
      </c>
      <c r="B50" t="s">
        <v>5</v>
      </c>
      <c r="C50" t="s">
        <v>79</v>
      </c>
      <c r="D50">
        <v>1</v>
      </c>
      <c r="E50" s="1">
        <v>65</v>
      </c>
      <c r="F50" s="1">
        <f t="shared" si="1"/>
        <v>53.728801561861061</v>
      </c>
      <c r="G50">
        <v>2.12</v>
      </c>
      <c r="H50">
        <v>152</v>
      </c>
      <c r="I50">
        <v>1.4</v>
      </c>
      <c r="J50" s="2">
        <v>3.95</v>
      </c>
      <c r="K50">
        <v>30</v>
      </c>
      <c r="L50" t="s">
        <v>62</v>
      </c>
      <c r="M50" s="21">
        <v>0.05</v>
      </c>
      <c r="N50" s="21">
        <f>18*10</f>
        <v>180</v>
      </c>
      <c r="O50" s="21">
        <v>0.19</v>
      </c>
      <c r="P50" s="4">
        <v>4.6780000000000008</v>
      </c>
      <c r="Q50">
        <v>0.56999999999999995</v>
      </c>
    </row>
    <row r="51" spans="1:17" x14ac:dyDescent="0.25">
      <c r="A51">
        <v>2</v>
      </c>
      <c r="B51" t="s">
        <v>5</v>
      </c>
      <c r="C51" t="s">
        <v>79</v>
      </c>
      <c r="D51">
        <v>2</v>
      </c>
      <c r="E51" s="1">
        <v>75</v>
      </c>
      <c r="F51" s="1">
        <f t="shared" si="1"/>
        <v>59.999999999999993</v>
      </c>
      <c r="G51">
        <v>1.81</v>
      </c>
      <c r="H51">
        <v>144</v>
      </c>
      <c r="I51">
        <v>1.26</v>
      </c>
      <c r="J51" s="2">
        <v>4.0599999999999996</v>
      </c>
      <c r="K51">
        <v>30</v>
      </c>
      <c r="L51" t="s">
        <v>62</v>
      </c>
      <c r="M51" s="21">
        <v>0.05</v>
      </c>
      <c r="N51" s="21">
        <f>17.4*10</f>
        <v>174</v>
      </c>
      <c r="O51" s="21">
        <v>0.21</v>
      </c>
      <c r="P51" s="4">
        <v>4.6879999999999997</v>
      </c>
      <c r="Q51">
        <v>0.62</v>
      </c>
    </row>
    <row r="52" spans="1:17" x14ac:dyDescent="0.25">
      <c r="A52">
        <v>2</v>
      </c>
      <c r="B52" t="s">
        <v>5</v>
      </c>
      <c r="C52" t="s">
        <v>79</v>
      </c>
      <c r="D52">
        <v>3</v>
      </c>
      <c r="E52" s="1">
        <v>65</v>
      </c>
      <c r="F52" s="1">
        <f t="shared" si="1"/>
        <v>53.728801561861061</v>
      </c>
      <c r="G52">
        <v>2.1</v>
      </c>
      <c r="H52">
        <v>135</v>
      </c>
      <c r="I52">
        <v>1.23</v>
      </c>
      <c r="J52" s="2">
        <v>3.52</v>
      </c>
      <c r="K52">
        <v>30</v>
      </c>
      <c r="L52" t="s">
        <v>62</v>
      </c>
      <c r="M52" s="21">
        <v>0.05</v>
      </c>
      <c r="N52" s="21">
        <f>14.2*10</f>
        <v>142</v>
      </c>
      <c r="O52" s="21">
        <v>0.09</v>
      </c>
      <c r="P52" s="4">
        <v>4.9480000000000004</v>
      </c>
      <c r="Q52">
        <v>0.85</v>
      </c>
    </row>
    <row r="53" spans="1:17" x14ac:dyDescent="0.25">
      <c r="A53">
        <v>2</v>
      </c>
      <c r="B53" t="s">
        <v>5</v>
      </c>
      <c r="C53" t="s">
        <v>79</v>
      </c>
      <c r="D53">
        <v>4</v>
      </c>
      <c r="E53" s="1">
        <v>50</v>
      </c>
      <c r="F53" s="1">
        <f t="shared" si="1"/>
        <v>45.000000000000007</v>
      </c>
      <c r="G53">
        <v>1.35</v>
      </c>
      <c r="H53">
        <v>88</v>
      </c>
      <c r="I53">
        <v>1.04</v>
      </c>
      <c r="J53" s="2">
        <v>3.64</v>
      </c>
      <c r="K53">
        <v>30</v>
      </c>
      <c r="L53" t="s">
        <v>62</v>
      </c>
      <c r="M53" s="21">
        <v>0.05</v>
      </c>
      <c r="N53" s="21">
        <f>14.2*10</f>
        <v>142</v>
      </c>
      <c r="O53" s="21">
        <v>0.15</v>
      </c>
      <c r="P53" s="4">
        <v>4.8439999999999994</v>
      </c>
      <c r="Q53">
        <v>0.7</v>
      </c>
    </row>
    <row r="54" spans="1:17" x14ac:dyDescent="0.25">
      <c r="A54">
        <v>2</v>
      </c>
      <c r="B54" t="s">
        <v>17</v>
      </c>
      <c r="C54" t="s">
        <v>81</v>
      </c>
      <c r="D54">
        <v>1</v>
      </c>
      <c r="E54" s="1">
        <v>60</v>
      </c>
      <c r="F54" s="1">
        <f t="shared" si="1"/>
        <v>50.768479516407751</v>
      </c>
      <c r="G54">
        <v>0.05</v>
      </c>
      <c r="H54">
        <v>196</v>
      </c>
      <c r="I54">
        <v>0.38</v>
      </c>
      <c r="J54" s="2">
        <v>3.81</v>
      </c>
      <c r="K54">
        <v>35</v>
      </c>
      <c r="L54" t="s">
        <v>62</v>
      </c>
      <c r="M54" s="21">
        <v>0.05</v>
      </c>
      <c r="N54" s="21">
        <f>18*10</f>
        <v>180</v>
      </c>
      <c r="O54" s="21">
        <v>0.19</v>
      </c>
      <c r="P54" s="4">
        <v>4.6780000000000008</v>
      </c>
      <c r="Q54">
        <v>0.56999999999999995</v>
      </c>
    </row>
    <row r="55" spans="1:17" x14ac:dyDescent="0.25">
      <c r="A55">
        <v>2</v>
      </c>
      <c r="B55" t="s">
        <v>17</v>
      </c>
      <c r="C55" t="s">
        <v>81</v>
      </c>
      <c r="D55">
        <v>2</v>
      </c>
      <c r="E55" s="1">
        <v>60</v>
      </c>
      <c r="F55" s="1">
        <f t="shared" si="1"/>
        <v>50.768479516407751</v>
      </c>
      <c r="G55">
        <v>0.33</v>
      </c>
      <c r="H55">
        <v>182</v>
      </c>
      <c r="I55">
        <v>0.38</v>
      </c>
      <c r="J55" s="2">
        <v>3.49</v>
      </c>
      <c r="K55">
        <v>35</v>
      </c>
      <c r="L55" t="s">
        <v>62</v>
      </c>
      <c r="M55" s="21">
        <v>0.05</v>
      </c>
      <c r="N55" s="21">
        <f>17.4*10</f>
        <v>174</v>
      </c>
      <c r="O55" s="21">
        <v>0.21</v>
      </c>
      <c r="P55" s="4">
        <v>4.6879999999999997</v>
      </c>
      <c r="Q55">
        <v>0.62</v>
      </c>
    </row>
    <row r="56" spans="1:17" x14ac:dyDescent="0.25">
      <c r="A56">
        <v>2</v>
      </c>
      <c r="B56" t="s">
        <v>17</v>
      </c>
      <c r="C56" t="s">
        <v>81</v>
      </c>
      <c r="D56">
        <v>3</v>
      </c>
      <c r="E56" s="1">
        <v>55.000000000000007</v>
      </c>
      <c r="F56" s="1">
        <f t="shared" si="1"/>
        <v>47.869585238633384</v>
      </c>
      <c r="G56">
        <v>0.18</v>
      </c>
      <c r="H56">
        <v>176</v>
      </c>
      <c r="I56">
        <v>0.41</v>
      </c>
      <c r="J56" s="2">
        <v>4.04</v>
      </c>
      <c r="K56">
        <v>35</v>
      </c>
      <c r="L56" t="s">
        <v>62</v>
      </c>
      <c r="M56" s="21">
        <v>0.05</v>
      </c>
      <c r="N56" s="21">
        <f>14.2*10</f>
        <v>142</v>
      </c>
      <c r="O56" s="21">
        <v>0.09</v>
      </c>
      <c r="P56" s="4">
        <v>4.9480000000000004</v>
      </c>
      <c r="Q56">
        <v>0.85</v>
      </c>
    </row>
    <row r="57" spans="1:17" x14ac:dyDescent="0.25">
      <c r="A57">
        <v>2</v>
      </c>
      <c r="B57" t="s">
        <v>17</v>
      </c>
      <c r="C57" t="s">
        <v>81</v>
      </c>
      <c r="D57">
        <v>4</v>
      </c>
      <c r="E57" s="1">
        <v>35</v>
      </c>
      <c r="F57" s="1">
        <f t="shared" si="1"/>
        <v>36.271198438138953</v>
      </c>
      <c r="G57">
        <v>0.38</v>
      </c>
      <c r="H57">
        <v>176</v>
      </c>
      <c r="I57">
        <v>0.37</v>
      </c>
      <c r="J57" s="2">
        <v>3.51</v>
      </c>
      <c r="K57">
        <v>35</v>
      </c>
      <c r="L57" t="s">
        <v>62</v>
      </c>
      <c r="M57" s="21">
        <v>0.05</v>
      </c>
      <c r="N57" s="21">
        <f>14.2*10</f>
        <v>142</v>
      </c>
      <c r="O57" s="21">
        <v>0.15</v>
      </c>
      <c r="P57" s="4">
        <v>4.8439999999999994</v>
      </c>
      <c r="Q57">
        <v>0.7</v>
      </c>
    </row>
    <row r="58" spans="1:17" x14ac:dyDescent="0.25">
      <c r="A58">
        <v>2</v>
      </c>
      <c r="B58" t="s">
        <v>6</v>
      </c>
      <c r="C58" t="s">
        <v>82</v>
      </c>
      <c r="D58">
        <v>1</v>
      </c>
      <c r="E58" s="1">
        <v>45</v>
      </c>
      <c r="F58" s="1">
        <f t="shared" si="1"/>
        <v>42.130414761366609</v>
      </c>
      <c r="G58">
        <v>0.47</v>
      </c>
      <c r="H58">
        <v>184</v>
      </c>
      <c r="I58">
        <v>0.46</v>
      </c>
      <c r="J58" s="2">
        <v>3.85</v>
      </c>
      <c r="K58">
        <v>15</v>
      </c>
      <c r="L58" t="s">
        <v>62</v>
      </c>
      <c r="M58" s="21">
        <v>0.05</v>
      </c>
      <c r="N58" s="21">
        <f>18*10</f>
        <v>180</v>
      </c>
      <c r="O58" s="21">
        <v>0.19</v>
      </c>
      <c r="P58" s="4">
        <v>4.6780000000000008</v>
      </c>
      <c r="Q58">
        <v>0.56999999999999995</v>
      </c>
    </row>
    <row r="59" spans="1:17" x14ac:dyDescent="0.25">
      <c r="A59">
        <v>2</v>
      </c>
      <c r="B59" t="s">
        <v>6</v>
      </c>
      <c r="C59" t="s">
        <v>82</v>
      </c>
      <c r="D59">
        <v>2</v>
      </c>
      <c r="E59" s="1">
        <v>30</v>
      </c>
      <c r="F59" s="1">
        <f t="shared" si="1"/>
        <v>33.210910760899083</v>
      </c>
      <c r="G59">
        <v>0.55000000000000004</v>
      </c>
      <c r="H59">
        <v>188</v>
      </c>
      <c r="I59">
        <v>0.61</v>
      </c>
      <c r="J59" s="2">
        <v>3.94</v>
      </c>
      <c r="K59">
        <v>15</v>
      </c>
      <c r="L59" t="s">
        <v>62</v>
      </c>
      <c r="M59" s="21">
        <v>0.05</v>
      </c>
      <c r="N59" s="21">
        <f>17.4*10</f>
        <v>174</v>
      </c>
      <c r="O59" s="21">
        <v>0.21</v>
      </c>
      <c r="P59" s="4">
        <v>4.6879999999999997</v>
      </c>
      <c r="Q59">
        <v>0.62</v>
      </c>
    </row>
    <row r="60" spans="1:17" x14ac:dyDescent="0.25">
      <c r="A60">
        <v>2</v>
      </c>
      <c r="B60" t="s">
        <v>6</v>
      </c>
      <c r="C60" t="s">
        <v>82</v>
      </c>
      <c r="D60">
        <v>3</v>
      </c>
      <c r="E60" s="1">
        <v>40</v>
      </c>
      <c r="F60" s="1">
        <f t="shared" si="1"/>
        <v>39.231520483592263</v>
      </c>
      <c r="G60">
        <v>0.38</v>
      </c>
      <c r="H60">
        <v>147</v>
      </c>
      <c r="I60">
        <v>0.44</v>
      </c>
      <c r="J60" s="2">
        <v>3.63</v>
      </c>
      <c r="K60">
        <v>15</v>
      </c>
      <c r="L60" t="s">
        <v>62</v>
      </c>
      <c r="M60" s="21">
        <v>0.05</v>
      </c>
      <c r="N60" s="21">
        <f>14.2*10</f>
        <v>142</v>
      </c>
      <c r="O60" s="21">
        <v>0.09</v>
      </c>
      <c r="P60" s="4">
        <v>4.9480000000000004</v>
      </c>
      <c r="Q60">
        <v>0.85</v>
      </c>
    </row>
    <row r="61" spans="1:17" x14ac:dyDescent="0.25">
      <c r="A61">
        <v>2</v>
      </c>
      <c r="B61" t="s">
        <v>6</v>
      </c>
      <c r="C61" t="s">
        <v>82</v>
      </c>
      <c r="D61">
        <v>4</v>
      </c>
      <c r="E61" s="1">
        <v>35</v>
      </c>
      <c r="F61" s="1">
        <f t="shared" si="1"/>
        <v>36.271198438138953</v>
      </c>
      <c r="G61">
        <v>0.34</v>
      </c>
      <c r="H61">
        <v>174</v>
      </c>
      <c r="I61">
        <v>0.63</v>
      </c>
      <c r="J61" s="2">
        <v>3.65</v>
      </c>
      <c r="K61">
        <v>15</v>
      </c>
      <c r="L61" t="s">
        <v>62</v>
      </c>
      <c r="M61" s="21">
        <v>0.05</v>
      </c>
      <c r="N61" s="21">
        <f>14.2*10</f>
        <v>142</v>
      </c>
      <c r="O61" s="21">
        <v>0.15</v>
      </c>
      <c r="P61" s="4">
        <v>4.8439999999999994</v>
      </c>
      <c r="Q61">
        <v>0.7</v>
      </c>
    </row>
    <row r="62" spans="1:17" x14ac:dyDescent="0.25">
      <c r="A62">
        <v>2</v>
      </c>
      <c r="B62" t="s">
        <v>7</v>
      </c>
      <c r="C62" t="s">
        <v>80</v>
      </c>
      <c r="D62">
        <v>1</v>
      </c>
      <c r="E62" s="1">
        <v>80</v>
      </c>
      <c r="F62" s="1">
        <f t="shared" si="1"/>
        <v>63.43494882292201</v>
      </c>
      <c r="G62">
        <v>1.23</v>
      </c>
      <c r="H62">
        <v>157</v>
      </c>
      <c r="I62">
        <v>0.91</v>
      </c>
      <c r="J62" s="2">
        <v>3.9</v>
      </c>
      <c r="K62">
        <v>35</v>
      </c>
      <c r="L62" t="s">
        <v>62</v>
      </c>
      <c r="M62" s="21">
        <v>0.05</v>
      </c>
      <c r="N62" s="21">
        <f>18*10</f>
        <v>180</v>
      </c>
      <c r="O62" s="21">
        <v>0.19</v>
      </c>
      <c r="P62" s="4">
        <v>4.6780000000000008</v>
      </c>
      <c r="Q62">
        <v>0.56999999999999995</v>
      </c>
    </row>
    <row r="63" spans="1:17" x14ac:dyDescent="0.25">
      <c r="A63">
        <v>2</v>
      </c>
      <c r="B63" t="s">
        <v>7</v>
      </c>
      <c r="C63" t="s">
        <v>80</v>
      </c>
      <c r="D63">
        <v>2</v>
      </c>
      <c r="E63" s="1">
        <v>40</v>
      </c>
      <c r="F63" s="1">
        <f t="shared" si="1"/>
        <v>39.231520483592263</v>
      </c>
      <c r="G63">
        <v>1.29</v>
      </c>
      <c r="H63">
        <v>152</v>
      </c>
      <c r="I63">
        <v>0.83</v>
      </c>
      <c r="J63" s="2">
        <v>3.84</v>
      </c>
      <c r="K63">
        <v>35</v>
      </c>
      <c r="L63" t="s">
        <v>62</v>
      </c>
      <c r="M63" s="21">
        <v>0.05</v>
      </c>
      <c r="N63" s="21">
        <f>17.4*10</f>
        <v>174</v>
      </c>
      <c r="O63" s="21">
        <v>0.21</v>
      </c>
      <c r="P63" s="4">
        <v>4.6879999999999997</v>
      </c>
      <c r="Q63">
        <v>0.62</v>
      </c>
    </row>
    <row r="64" spans="1:17" x14ac:dyDescent="0.25">
      <c r="A64">
        <v>2</v>
      </c>
      <c r="B64" t="s">
        <v>7</v>
      </c>
      <c r="C64" t="s">
        <v>80</v>
      </c>
      <c r="D64">
        <v>3</v>
      </c>
      <c r="E64" s="1">
        <v>65</v>
      </c>
      <c r="F64" s="1">
        <f t="shared" si="1"/>
        <v>53.728801561861061</v>
      </c>
      <c r="G64">
        <v>2.4</v>
      </c>
      <c r="H64">
        <v>124</v>
      </c>
      <c r="I64">
        <v>1.1000000000000001</v>
      </c>
      <c r="J64" s="2">
        <v>3.54</v>
      </c>
      <c r="K64">
        <v>35</v>
      </c>
      <c r="L64" t="s">
        <v>62</v>
      </c>
      <c r="M64" s="21">
        <v>0.05</v>
      </c>
      <c r="N64" s="21">
        <f>14.2*10</f>
        <v>142</v>
      </c>
      <c r="O64" s="21">
        <v>0.09</v>
      </c>
      <c r="P64" s="4">
        <v>4.9480000000000004</v>
      </c>
      <c r="Q64">
        <v>0.85</v>
      </c>
    </row>
    <row r="65" spans="1:17" x14ac:dyDescent="0.25">
      <c r="A65">
        <v>2</v>
      </c>
      <c r="B65" t="s">
        <v>7</v>
      </c>
      <c r="C65" t="s">
        <v>80</v>
      </c>
      <c r="D65">
        <v>4</v>
      </c>
      <c r="E65" s="1">
        <v>75</v>
      </c>
      <c r="F65" s="1">
        <f t="shared" si="1"/>
        <v>59.999999999999993</v>
      </c>
      <c r="G65">
        <v>2.1800000000000002</v>
      </c>
      <c r="H65">
        <v>112</v>
      </c>
      <c r="I65">
        <v>1.1499999999999999</v>
      </c>
      <c r="J65" s="2">
        <v>3.87</v>
      </c>
      <c r="K65">
        <v>35</v>
      </c>
      <c r="L65" t="s">
        <v>62</v>
      </c>
      <c r="M65" s="21">
        <v>0.05</v>
      </c>
      <c r="N65" s="21">
        <f>14.2*10</f>
        <v>142</v>
      </c>
      <c r="O65" s="21">
        <v>0.15</v>
      </c>
      <c r="P65" s="4">
        <v>4.8439999999999994</v>
      </c>
      <c r="Q65">
        <v>0.7</v>
      </c>
    </row>
    <row r="66" spans="1:17" x14ac:dyDescent="0.25">
      <c r="A66">
        <v>2</v>
      </c>
      <c r="B66" t="s">
        <v>9</v>
      </c>
      <c r="C66" t="s">
        <v>83</v>
      </c>
      <c r="D66">
        <v>1</v>
      </c>
      <c r="E66" s="1">
        <v>0</v>
      </c>
      <c r="F66" s="1">
        <f t="shared" ref="F66:F97" si="2">ASIN(SQRT(E66/100))*180/PI()</f>
        <v>0</v>
      </c>
      <c r="G66">
        <v>0.05</v>
      </c>
      <c r="H66">
        <v>186</v>
      </c>
      <c r="I66">
        <v>0.21</v>
      </c>
      <c r="J66" s="2">
        <v>4.09</v>
      </c>
      <c r="K66">
        <v>25</v>
      </c>
      <c r="L66" t="s">
        <v>62</v>
      </c>
      <c r="M66" s="21">
        <v>0.05</v>
      </c>
      <c r="N66" s="21">
        <f>18*10</f>
        <v>180</v>
      </c>
      <c r="O66" s="21">
        <v>0.19</v>
      </c>
      <c r="P66" s="4">
        <v>4.6780000000000008</v>
      </c>
      <c r="Q66">
        <v>0.56999999999999995</v>
      </c>
    </row>
    <row r="67" spans="1:17" x14ac:dyDescent="0.25">
      <c r="A67">
        <v>2</v>
      </c>
      <c r="B67" t="s">
        <v>9</v>
      </c>
      <c r="C67" t="s">
        <v>83</v>
      </c>
      <c r="D67">
        <v>2</v>
      </c>
      <c r="E67" s="1">
        <v>15</v>
      </c>
      <c r="F67" s="1">
        <f t="shared" si="2"/>
        <v>22.786497999597149</v>
      </c>
      <c r="G67">
        <v>0.08</v>
      </c>
      <c r="H67">
        <v>182</v>
      </c>
      <c r="I67">
        <v>0.28999999999999998</v>
      </c>
      <c r="J67" s="2">
        <v>4.05</v>
      </c>
      <c r="K67">
        <v>25</v>
      </c>
      <c r="L67" t="s">
        <v>62</v>
      </c>
      <c r="M67" s="21">
        <v>0.05</v>
      </c>
      <c r="N67" s="21">
        <f>17.4*10</f>
        <v>174</v>
      </c>
      <c r="O67" s="21">
        <v>0.21</v>
      </c>
      <c r="P67" s="4">
        <v>4.6879999999999997</v>
      </c>
      <c r="Q67">
        <v>0.62</v>
      </c>
    </row>
    <row r="68" spans="1:17" x14ac:dyDescent="0.25">
      <c r="A68">
        <v>2</v>
      </c>
      <c r="B68" t="s">
        <v>9</v>
      </c>
      <c r="C68" t="s">
        <v>83</v>
      </c>
      <c r="D68">
        <v>3</v>
      </c>
      <c r="E68" s="1">
        <v>15</v>
      </c>
      <c r="F68" s="1">
        <f t="shared" si="2"/>
        <v>22.786497999597149</v>
      </c>
      <c r="G68">
        <v>0.05</v>
      </c>
      <c r="H68">
        <v>193</v>
      </c>
      <c r="I68">
        <v>0.31</v>
      </c>
      <c r="J68" s="2">
        <v>3.98</v>
      </c>
      <c r="K68">
        <v>25</v>
      </c>
      <c r="L68" t="s">
        <v>62</v>
      </c>
      <c r="M68" s="21">
        <v>0.05</v>
      </c>
      <c r="N68" s="21">
        <f>14.2*10</f>
        <v>142</v>
      </c>
      <c r="O68" s="21">
        <v>0.09</v>
      </c>
      <c r="P68" s="4">
        <v>4.9480000000000004</v>
      </c>
      <c r="Q68">
        <v>0.85</v>
      </c>
    </row>
    <row r="69" spans="1:17" x14ac:dyDescent="0.25">
      <c r="A69">
        <v>2</v>
      </c>
      <c r="B69" t="s">
        <v>9</v>
      </c>
      <c r="C69" t="s">
        <v>83</v>
      </c>
      <c r="D69">
        <v>4</v>
      </c>
      <c r="E69" s="1">
        <v>25</v>
      </c>
      <c r="F69" s="1">
        <f t="shared" si="2"/>
        <v>30.000000000000004</v>
      </c>
      <c r="G69">
        <v>0.05</v>
      </c>
      <c r="H69">
        <v>181</v>
      </c>
      <c r="I69">
        <v>0.25</v>
      </c>
      <c r="J69" s="2">
        <v>4.0999999999999996</v>
      </c>
      <c r="K69">
        <v>25</v>
      </c>
      <c r="L69" t="s">
        <v>62</v>
      </c>
      <c r="M69" s="21">
        <v>0.05</v>
      </c>
      <c r="N69" s="21">
        <f>14.2*10</f>
        <v>142</v>
      </c>
      <c r="O69" s="21">
        <v>0.15</v>
      </c>
      <c r="P69" s="4">
        <v>4.8439999999999994</v>
      </c>
      <c r="Q69">
        <v>0.7</v>
      </c>
    </row>
    <row r="70" spans="1:17" x14ac:dyDescent="0.25">
      <c r="A70">
        <v>2</v>
      </c>
      <c r="B70" t="s">
        <v>10</v>
      </c>
      <c r="C70" t="s">
        <v>84</v>
      </c>
      <c r="D70">
        <v>1</v>
      </c>
      <c r="E70" s="1">
        <v>5</v>
      </c>
      <c r="F70" s="1">
        <f t="shared" si="2"/>
        <v>12.920966381583565</v>
      </c>
      <c r="G70">
        <v>0.05</v>
      </c>
      <c r="H70">
        <v>176</v>
      </c>
      <c r="I70">
        <v>0.27</v>
      </c>
      <c r="J70" s="2">
        <v>3.91</v>
      </c>
      <c r="K70">
        <v>20</v>
      </c>
      <c r="L70" t="s">
        <v>62</v>
      </c>
      <c r="M70" s="21">
        <v>0.05</v>
      </c>
      <c r="N70" s="21">
        <f>18*10</f>
        <v>180</v>
      </c>
      <c r="O70" s="21">
        <v>0.19</v>
      </c>
      <c r="P70" s="4">
        <v>4.6780000000000008</v>
      </c>
      <c r="Q70">
        <v>0.56999999999999995</v>
      </c>
    </row>
    <row r="71" spans="1:17" x14ac:dyDescent="0.25">
      <c r="A71">
        <v>2</v>
      </c>
      <c r="B71" t="s">
        <v>10</v>
      </c>
      <c r="C71" t="s">
        <v>84</v>
      </c>
      <c r="D71">
        <v>2</v>
      </c>
      <c r="E71" s="1">
        <v>10</v>
      </c>
      <c r="F71" s="1">
        <f t="shared" si="2"/>
        <v>18.434948822922014</v>
      </c>
      <c r="G71">
        <v>0.05</v>
      </c>
      <c r="H71">
        <v>158</v>
      </c>
      <c r="I71">
        <v>0.42</v>
      </c>
      <c r="J71" s="2">
        <v>4.03</v>
      </c>
      <c r="K71">
        <v>20</v>
      </c>
      <c r="L71" t="s">
        <v>62</v>
      </c>
      <c r="M71" s="21">
        <v>0.05</v>
      </c>
      <c r="N71" s="21">
        <f>17.4*10</f>
        <v>174</v>
      </c>
      <c r="O71" s="21">
        <v>0.21</v>
      </c>
      <c r="P71" s="4">
        <v>4.6879999999999997</v>
      </c>
      <c r="Q71">
        <v>0.62</v>
      </c>
    </row>
    <row r="72" spans="1:17" x14ac:dyDescent="0.25">
      <c r="A72">
        <v>2</v>
      </c>
      <c r="B72" t="s">
        <v>10</v>
      </c>
      <c r="C72" t="s">
        <v>84</v>
      </c>
      <c r="D72">
        <v>3</v>
      </c>
      <c r="E72" s="1">
        <v>30</v>
      </c>
      <c r="F72" s="1">
        <f t="shared" si="2"/>
        <v>33.210910760899083</v>
      </c>
      <c r="G72">
        <v>0.06</v>
      </c>
      <c r="H72">
        <v>168</v>
      </c>
      <c r="I72">
        <v>0.77</v>
      </c>
      <c r="J72" s="2">
        <v>4.07</v>
      </c>
      <c r="K72">
        <v>20</v>
      </c>
      <c r="L72" t="s">
        <v>62</v>
      </c>
      <c r="M72" s="21">
        <v>0.05</v>
      </c>
      <c r="N72" s="21">
        <f>14.2*10</f>
        <v>142</v>
      </c>
      <c r="O72" s="21">
        <v>0.09</v>
      </c>
      <c r="P72" s="4">
        <v>4.9480000000000004</v>
      </c>
      <c r="Q72">
        <v>0.85</v>
      </c>
    </row>
    <row r="73" spans="1:17" x14ac:dyDescent="0.25">
      <c r="A73">
        <v>2</v>
      </c>
      <c r="B73" t="s">
        <v>10</v>
      </c>
      <c r="C73" t="s">
        <v>84</v>
      </c>
      <c r="D73">
        <v>4</v>
      </c>
      <c r="E73" s="1">
        <v>35</v>
      </c>
      <c r="F73" s="1">
        <f t="shared" si="2"/>
        <v>36.271198438138953</v>
      </c>
      <c r="G73">
        <v>0.05</v>
      </c>
      <c r="H73">
        <v>156</v>
      </c>
      <c r="I73">
        <v>0.53</v>
      </c>
      <c r="J73" s="2">
        <v>6.56</v>
      </c>
      <c r="K73">
        <v>20</v>
      </c>
      <c r="L73" t="s">
        <v>62</v>
      </c>
      <c r="M73" s="21">
        <v>0.05</v>
      </c>
      <c r="N73" s="21">
        <f>14.2*10</f>
        <v>142</v>
      </c>
      <c r="O73" s="21">
        <v>0.15</v>
      </c>
      <c r="P73" s="4">
        <v>4.8439999999999994</v>
      </c>
      <c r="Q73">
        <v>0.7</v>
      </c>
    </row>
    <row r="74" spans="1:17" x14ac:dyDescent="0.25">
      <c r="A74">
        <v>2</v>
      </c>
      <c r="B74" t="s">
        <v>11</v>
      </c>
      <c r="C74" t="s">
        <v>85</v>
      </c>
      <c r="D74">
        <v>1</v>
      </c>
      <c r="E74" s="1">
        <v>50</v>
      </c>
      <c r="F74" s="1">
        <f t="shared" si="2"/>
        <v>45.000000000000007</v>
      </c>
      <c r="G74">
        <v>0.15</v>
      </c>
      <c r="H74">
        <v>180</v>
      </c>
      <c r="I74">
        <v>0.15</v>
      </c>
      <c r="J74" s="2">
        <v>3.81</v>
      </c>
      <c r="K74">
        <v>35</v>
      </c>
      <c r="L74" t="s">
        <v>62</v>
      </c>
      <c r="M74" s="21">
        <v>0.05</v>
      </c>
      <c r="N74" s="21">
        <f>18*10</f>
        <v>180</v>
      </c>
      <c r="O74" s="21">
        <v>0.19</v>
      </c>
      <c r="P74" s="4">
        <v>4.6780000000000008</v>
      </c>
      <c r="Q74">
        <v>0.56999999999999995</v>
      </c>
    </row>
    <row r="75" spans="1:17" x14ac:dyDescent="0.25">
      <c r="A75">
        <v>2</v>
      </c>
      <c r="B75" t="s">
        <v>11</v>
      </c>
      <c r="C75" t="s">
        <v>85</v>
      </c>
      <c r="D75">
        <v>2</v>
      </c>
      <c r="E75" s="1">
        <v>70</v>
      </c>
      <c r="F75" s="1">
        <f t="shared" si="2"/>
        <v>56.789089239100917</v>
      </c>
      <c r="G75">
        <v>0.83</v>
      </c>
      <c r="H75">
        <v>202</v>
      </c>
      <c r="I75">
        <v>0.39</v>
      </c>
      <c r="J75" s="2">
        <v>3.9</v>
      </c>
      <c r="K75">
        <v>35</v>
      </c>
      <c r="L75" t="s">
        <v>62</v>
      </c>
      <c r="M75" s="21">
        <v>0.05</v>
      </c>
      <c r="N75" s="21">
        <f>17.4*10</f>
        <v>174</v>
      </c>
      <c r="O75" s="21">
        <v>0.21</v>
      </c>
      <c r="P75" s="4">
        <v>4.6879999999999997</v>
      </c>
      <c r="Q75">
        <v>0.62</v>
      </c>
    </row>
    <row r="76" spans="1:17" x14ac:dyDescent="0.25">
      <c r="A76">
        <v>2</v>
      </c>
      <c r="B76" t="s">
        <v>11</v>
      </c>
      <c r="C76" t="s">
        <v>85</v>
      </c>
      <c r="D76">
        <v>3</v>
      </c>
      <c r="E76" s="1">
        <v>45</v>
      </c>
      <c r="F76" s="1">
        <f t="shared" si="2"/>
        <v>42.130414761366609</v>
      </c>
      <c r="G76">
        <v>0.48</v>
      </c>
      <c r="H76">
        <v>193</v>
      </c>
      <c r="I76">
        <v>0.44</v>
      </c>
      <c r="J76" s="2">
        <v>4.1399999999999997</v>
      </c>
      <c r="K76">
        <v>35</v>
      </c>
      <c r="L76" t="s">
        <v>62</v>
      </c>
      <c r="M76" s="21">
        <v>0.05</v>
      </c>
      <c r="N76" s="21">
        <f>14.2*10</f>
        <v>142</v>
      </c>
      <c r="O76" s="21">
        <v>0.09</v>
      </c>
      <c r="P76" s="4">
        <v>4.9480000000000004</v>
      </c>
      <c r="Q76">
        <v>0.85</v>
      </c>
    </row>
    <row r="77" spans="1:17" x14ac:dyDescent="0.25">
      <c r="A77">
        <v>2</v>
      </c>
      <c r="B77" t="s">
        <v>11</v>
      </c>
      <c r="C77" t="s">
        <v>85</v>
      </c>
      <c r="D77">
        <v>4</v>
      </c>
      <c r="E77" s="1">
        <v>60</v>
      </c>
      <c r="F77" s="1">
        <f t="shared" si="2"/>
        <v>50.768479516407751</v>
      </c>
      <c r="G77">
        <v>0.92</v>
      </c>
      <c r="H77">
        <v>172</v>
      </c>
      <c r="I77">
        <v>0.42</v>
      </c>
      <c r="J77" s="2">
        <v>3.65</v>
      </c>
      <c r="K77">
        <v>35</v>
      </c>
      <c r="L77" t="s">
        <v>62</v>
      </c>
      <c r="M77" s="21">
        <v>0.05</v>
      </c>
      <c r="N77" s="21">
        <f>14.2*10</f>
        <v>142</v>
      </c>
      <c r="O77" s="21">
        <v>0.15</v>
      </c>
      <c r="P77" s="4">
        <v>4.8439999999999994</v>
      </c>
      <c r="Q77">
        <v>0.7</v>
      </c>
    </row>
    <row r="78" spans="1:17" x14ac:dyDescent="0.25">
      <c r="A78">
        <v>2</v>
      </c>
      <c r="B78" t="s">
        <v>12</v>
      </c>
      <c r="C78" t="s">
        <v>86</v>
      </c>
      <c r="D78">
        <v>1</v>
      </c>
      <c r="E78" s="1">
        <v>75</v>
      </c>
      <c r="F78" s="1">
        <f t="shared" si="2"/>
        <v>59.999999999999993</v>
      </c>
      <c r="G78">
        <v>2.13</v>
      </c>
      <c r="H78">
        <v>164</v>
      </c>
      <c r="I78">
        <v>1.03</v>
      </c>
      <c r="J78" s="2">
        <v>3.99</v>
      </c>
      <c r="K78">
        <v>30</v>
      </c>
      <c r="L78" t="s">
        <v>62</v>
      </c>
      <c r="M78" s="21">
        <v>0.05</v>
      </c>
      <c r="N78" s="21">
        <f>18*10</f>
        <v>180</v>
      </c>
      <c r="O78" s="21">
        <v>0.19</v>
      </c>
      <c r="P78" s="4">
        <v>4.6780000000000008</v>
      </c>
      <c r="Q78">
        <v>0.56999999999999995</v>
      </c>
    </row>
    <row r="79" spans="1:17" x14ac:dyDescent="0.25">
      <c r="A79">
        <v>2</v>
      </c>
      <c r="B79" t="s">
        <v>12</v>
      </c>
      <c r="C79" t="s">
        <v>86</v>
      </c>
      <c r="D79">
        <v>2</v>
      </c>
      <c r="E79" s="1">
        <v>95</v>
      </c>
      <c r="F79" s="1">
        <f t="shared" si="2"/>
        <v>77.079033618416432</v>
      </c>
      <c r="G79">
        <v>2.4</v>
      </c>
      <c r="H79">
        <v>178</v>
      </c>
      <c r="I79">
        <v>1.05</v>
      </c>
      <c r="J79" s="2">
        <v>3.73</v>
      </c>
      <c r="K79">
        <v>30</v>
      </c>
      <c r="L79" t="s">
        <v>62</v>
      </c>
      <c r="M79" s="21">
        <v>0.05</v>
      </c>
      <c r="N79" s="21">
        <f>17.4*10</f>
        <v>174</v>
      </c>
      <c r="O79" s="21">
        <v>0.21</v>
      </c>
      <c r="P79" s="4">
        <v>4.6879999999999997</v>
      </c>
      <c r="Q79">
        <v>0.62</v>
      </c>
    </row>
    <row r="80" spans="1:17" x14ac:dyDescent="0.25">
      <c r="A80">
        <v>2</v>
      </c>
      <c r="B80" t="s">
        <v>12</v>
      </c>
      <c r="C80" t="s">
        <v>86</v>
      </c>
      <c r="D80">
        <v>3</v>
      </c>
      <c r="E80" s="1">
        <v>65</v>
      </c>
      <c r="F80" s="1">
        <f t="shared" si="2"/>
        <v>53.728801561861061</v>
      </c>
      <c r="G80">
        <v>2.4</v>
      </c>
      <c r="H80">
        <v>148</v>
      </c>
      <c r="I80">
        <v>1.04</v>
      </c>
      <c r="J80" s="2">
        <v>3.65</v>
      </c>
      <c r="K80">
        <v>30</v>
      </c>
      <c r="L80" t="s">
        <v>62</v>
      </c>
      <c r="M80" s="21">
        <v>0.05</v>
      </c>
      <c r="N80" s="21">
        <f>14.2*10</f>
        <v>142</v>
      </c>
      <c r="O80" s="21">
        <v>0.09</v>
      </c>
      <c r="P80" s="4">
        <v>4.9480000000000004</v>
      </c>
      <c r="Q80">
        <v>0.85</v>
      </c>
    </row>
    <row r="81" spans="1:18" x14ac:dyDescent="0.25">
      <c r="A81">
        <v>2</v>
      </c>
      <c r="B81" t="s">
        <v>12</v>
      </c>
      <c r="C81" t="s">
        <v>86</v>
      </c>
      <c r="D81">
        <v>4</v>
      </c>
      <c r="E81" s="1">
        <v>70</v>
      </c>
      <c r="F81" s="1">
        <f t="shared" si="2"/>
        <v>56.789089239100917</v>
      </c>
      <c r="G81">
        <v>2.2599999999999998</v>
      </c>
      <c r="H81">
        <v>158</v>
      </c>
      <c r="I81">
        <v>1.04</v>
      </c>
      <c r="J81" s="2">
        <v>3.87</v>
      </c>
      <c r="K81">
        <v>30</v>
      </c>
      <c r="L81" t="s">
        <v>62</v>
      </c>
      <c r="M81" s="21">
        <v>0.05</v>
      </c>
      <c r="N81" s="21">
        <f>14.2*10</f>
        <v>142</v>
      </c>
      <c r="O81" s="21">
        <v>0.15</v>
      </c>
      <c r="P81" s="4">
        <v>4.8439999999999994</v>
      </c>
      <c r="Q81">
        <v>0.7</v>
      </c>
    </row>
    <row r="82" spans="1:18" x14ac:dyDescent="0.25">
      <c r="A82">
        <v>2</v>
      </c>
      <c r="B82" t="s">
        <v>13</v>
      </c>
      <c r="C82" t="s">
        <v>87</v>
      </c>
      <c r="D82">
        <v>1</v>
      </c>
      <c r="E82" s="1">
        <v>35</v>
      </c>
      <c r="F82" s="1">
        <f t="shared" si="2"/>
        <v>36.271198438138953</v>
      </c>
      <c r="G82">
        <v>0.16</v>
      </c>
      <c r="H82">
        <v>186</v>
      </c>
      <c r="I82">
        <v>0.54</v>
      </c>
      <c r="J82" s="2">
        <v>3.99</v>
      </c>
      <c r="K82">
        <v>35</v>
      </c>
      <c r="L82" t="s">
        <v>62</v>
      </c>
      <c r="M82" s="21">
        <v>0.05</v>
      </c>
      <c r="N82" s="21">
        <f>18*10</f>
        <v>180</v>
      </c>
      <c r="O82" s="21">
        <v>0.19</v>
      </c>
      <c r="P82" s="4">
        <v>4.6780000000000008</v>
      </c>
      <c r="Q82">
        <v>0.56999999999999995</v>
      </c>
    </row>
    <row r="83" spans="1:18" x14ac:dyDescent="0.25">
      <c r="A83">
        <v>2</v>
      </c>
      <c r="B83" t="s">
        <v>13</v>
      </c>
      <c r="C83" t="s">
        <v>87</v>
      </c>
      <c r="D83">
        <v>2</v>
      </c>
      <c r="E83" s="1">
        <v>40</v>
      </c>
      <c r="F83" s="1">
        <f t="shared" si="2"/>
        <v>39.231520483592263</v>
      </c>
      <c r="G83">
        <v>0.49</v>
      </c>
      <c r="H83">
        <v>172</v>
      </c>
      <c r="I83">
        <v>0.65</v>
      </c>
      <c r="J83" s="2">
        <v>3.52</v>
      </c>
      <c r="K83">
        <v>35</v>
      </c>
      <c r="L83" t="s">
        <v>62</v>
      </c>
      <c r="M83" s="21">
        <v>0.05</v>
      </c>
      <c r="N83" s="21">
        <f>17.4*10</f>
        <v>174</v>
      </c>
      <c r="O83" s="21">
        <v>0.21</v>
      </c>
      <c r="P83" s="4">
        <v>4.6879999999999997</v>
      </c>
      <c r="Q83">
        <v>0.62</v>
      </c>
    </row>
    <row r="84" spans="1:18" x14ac:dyDescent="0.25">
      <c r="A84">
        <v>2</v>
      </c>
      <c r="B84" t="s">
        <v>13</v>
      </c>
      <c r="C84" t="s">
        <v>87</v>
      </c>
      <c r="D84">
        <v>3</v>
      </c>
      <c r="E84" s="1">
        <v>10</v>
      </c>
      <c r="F84" s="1">
        <f t="shared" si="2"/>
        <v>18.434948822922014</v>
      </c>
      <c r="G84">
        <v>0.15</v>
      </c>
      <c r="H84">
        <v>179</v>
      </c>
      <c r="I84">
        <v>0.45</v>
      </c>
      <c r="J84" s="2">
        <v>3.85</v>
      </c>
      <c r="K84">
        <v>35</v>
      </c>
      <c r="L84" t="s">
        <v>62</v>
      </c>
      <c r="M84" s="21">
        <v>0.05</v>
      </c>
      <c r="N84" s="21">
        <f>14.2*10</f>
        <v>142</v>
      </c>
      <c r="O84" s="21">
        <v>0.09</v>
      </c>
      <c r="P84" s="4">
        <v>4.9480000000000004</v>
      </c>
      <c r="Q84">
        <v>0.85</v>
      </c>
    </row>
    <row r="85" spans="1:18" x14ac:dyDescent="0.25">
      <c r="A85">
        <v>2</v>
      </c>
      <c r="B85" t="s">
        <v>13</v>
      </c>
      <c r="C85" t="s">
        <v>87</v>
      </c>
      <c r="D85">
        <v>4</v>
      </c>
      <c r="E85" s="1">
        <v>30</v>
      </c>
      <c r="F85" s="1">
        <f t="shared" si="2"/>
        <v>33.210910760899083</v>
      </c>
      <c r="G85">
        <v>0.21</v>
      </c>
      <c r="H85">
        <v>185</v>
      </c>
      <c r="I85">
        <v>0.68</v>
      </c>
      <c r="J85" s="2">
        <v>3.73</v>
      </c>
      <c r="K85">
        <v>35</v>
      </c>
      <c r="L85" t="s">
        <v>62</v>
      </c>
      <c r="M85" s="21">
        <v>0.05</v>
      </c>
      <c r="N85" s="21">
        <f>14.2*10</f>
        <v>142</v>
      </c>
      <c r="O85" s="21">
        <v>0.15</v>
      </c>
      <c r="P85" s="4">
        <v>4.8439999999999994</v>
      </c>
      <c r="Q85">
        <v>0.7</v>
      </c>
    </row>
    <row r="86" spans="1:18" x14ac:dyDescent="0.25">
      <c r="A86">
        <v>2</v>
      </c>
      <c r="B86" t="s">
        <v>14</v>
      </c>
      <c r="C86" t="s">
        <v>88</v>
      </c>
      <c r="D86">
        <v>1</v>
      </c>
      <c r="E86" s="1">
        <v>40</v>
      </c>
      <c r="F86" s="1">
        <f t="shared" si="2"/>
        <v>39.231520483592263</v>
      </c>
      <c r="G86">
        <v>0.2</v>
      </c>
      <c r="H86">
        <v>158</v>
      </c>
      <c r="I86">
        <v>0.87</v>
      </c>
      <c r="J86" s="2">
        <v>3.96</v>
      </c>
      <c r="K86">
        <v>35</v>
      </c>
      <c r="L86" t="s">
        <v>62</v>
      </c>
      <c r="M86" s="21">
        <v>0.05</v>
      </c>
      <c r="N86" s="21">
        <f>18*10</f>
        <v>180</v>
      </c>
      <c r="O86" s="21">
        <v>0.19</v>
      </c>
      <c r="P86" s="4">
        <v>4.6780000000000008</v>
      </c>
      <c r="Q86">
        <v>0.56999999999999995</v>
      </c>
    </row>
    <row r="87" spans="1:18" x14ac:dyDescent="0.25">
      <c r="A87">
        <v>2</v>
      </c>
      <c r="B87" t="s">
        <v>14</v>
      </c>
      <c r="C87" t="s">
        <v>88</v>
      </c>
      <c r="D87">
        <v>2</v>
      </c>
      <c r="E87" s="1">
        <v>30</v>
      </c>
      <c r="F87" s="1">
        <f t="shared" si="2"/>
        <v>33.210910760899083</v>
      </c>
      <c r="G87">
        <v>0.24</v>
      </c>
      <c r="H87">
        <v>186</v>
      </c>
      <c r="I87">
        <v>0.93</v>
      </c>
      <c r="J87" s="2">
        <v>3.24</v>
      </c>
      <c r="K87">
        <v>35</v>
      </c>
      <c r="L87" t="s">
        <v>62</v>
      </c>
      <c r="M87" s="21">
        <v>0.05</v>
      </c>
      <c r="N87" s="21">
        <f>17.4*10</f>
        <v>174</v>
      </c>
      <c r="O87" s="21">
        <v>0.21</v>
      </c>
      <c r="P87" s="4">
        <v>4.6879999999999997</v>
      </c>
      <c r="Q87">
        <v>0.62</v>
      </c>
    </row>
    <row r="88" spans="1:18" x14ac:dyDescent="0.25">
      <c r="A88">
        <v>2</v>
      </c>
      <c r="B88" t="s">
        <v>14</v>
      </c>
      <c r="C88" t="s">
        <v>88</v>
      </c>
      <c r="D88">
        <v>3</v>
      </c>
      <c r="E88" s="1">
        <v>10</v>
      </c>
      <c r="F88" s="1">
        <f t="shared" si="2"/>
        <v>18.434948822922014</v>
      </c>
      <c r="G88">
        <v>0.16</v>
      </c>
      <c r="H88">
        <v>158</v>
      </c>
      <c r="I88">
        <v>0.79</v>
      </c>
      <c r="J88" s="2">
        <v>4.12</v>
      </c>
      <c r="K88">
        <v>35</v>
      </c>
      <c r="L88" t="s">
        <v>62</v>
      </c>
      <c r="M88" s="21">
        <v>0.05</v>
      </c>
      <c r="N88" s="21">
        <f>14.2*10</f>
        <v>142</v>
      </c>
      <c r="O88" s="21">
        <v>0.09</v>
      </c>
      <c r="P88" s="4">
        <v>4.9480000000000004</v>
      </c>
      <c r="Q88">
        <v>0.85</v>
      </c>
    </row>
    <row r="89" spans="1:18" x14ac:dyDescent="0.25">
      <c r="A89">
        <v>2</v>
      </c>
      <c r="B89" t="s">
        <v>14</v>
      </c>
      <c r="C89" t="s">
        <v>88</v>
      </c>
      <c r="D89">
        <v>4</v>
      </c>
      <c r="E89" s="1">
        <v>30</v>
      </c>
      <c r="F89" s="1">
        <f t="shared" si="2"/>
        <v>33.210910760899083</v>
      </c>
      <c r="G89">
        <v>0.22</v>
      </c>
      <c r="H89">
        <v>144</v>
      </c>
      <c r="I89">
        <v>0.88</v>
      </c>
      <c r="J89" s="2">
        <v>3.74</v>
      </c>
      <c r="K89">
        <v>35</v>
      </c>
      <c r="L89" t="s">
        <v>62</v>
      </c>
      <c r="M89" s="21">
        <v>0.05</v>
      </c>
      <c r="N89" s="21">
        <f>14.2*10</f>
        <v>142</v>
      </c>
      <c r="O89" s="21">
        <v>0.15</v>
      </c>
      <c r="P89" s="4">
        <v>4.8439999999999994</v>
      </c>
      <c r="Q89">
        <v>0.7</v>
      </c>
    </row>
    <row r="90" spans="1:18" x14ac:dyDescent="0.25">
      <c r="A90">
        <v>3</v>
      </c>
      <c r="B90" t="s">
        <v>4</v>
      </c>
      <c r="C90" t="s">
        <v>78</v>
      </c>
      <c r="D90">
        <v>1</v>
      </c>
      <c r="E90" s="1">
        <v>18.333333333333332</v>
      </c>
      <c r="F90" s="1">
        <f t="shared" si="2"/>
        <v>25.351759880406242</v>
      </c>
      <c r="G90">
        <v>0.54</v>
      </c>
      <c r="H90">
        <v>173</v>
      </c>
      <c r="I90">
        <v>0</v>
      </c>
      <c r="J90" s="2">
        <v>3.27</v>
      </c>
      <c r="K90">
        <v>23.75</v>
      </c>
      <c r="L90" t="s">
        <v>63</v>
      </c>
      <c r="M90" s="21">
        <v>0.6</v>
      </c>
      <c r="N90" s="21">
        <v>180</v>
      </c>
      <c r="O90" s="21">
        <v>0.17</v>
      </c>
      <c r="P90">
        <v>3.2850000000000001</v>
      </c>
      <c r="Q90">
        <v>3.0714999999999999</v>
      </c>
      <c r="R90">
        <v>18.333333333333332</v>
      </c>
    </row>
    <row r="91" spans="1:18" x14ac:dyDescent="0.25">
      <c r="A91">
        <v>3</v>
      </c>
      <c r="B91" t="s">
        <v>4</v>
      </c>
      <c r="C91" t="s">
        <v>78</v>
      </c>
      <c r="D91">
        <v>2</v>
      </c>
      <c r="E91" s="1">
        <v>25</v>
      </c>
      <c r="F91" s="1">
        <f t="shared" si="2"/>
        <v>30.000000000000004</v>
      </c>
      <c r="G91">
        <v>0.6</v>
      </c>
      <c r="H91">
        <v>193.5</v>
      </c>
      <c r="I91">
        <v>0</v>
      </c>
      <c r="J91" s="2">
        <v>3.42</v>
      </c>
      <c r="K91">
        <v>23.75</v>
      </c>
      <c r="L91" t="s">
        <v>63</v>
      </c>
      <c r="M91" s="21">
        <v>0.43</v>
      </c>
      <c r="N91" s="21">
        <v>200.9</v>
      </c>
      <c r="O91" s="21">
        <v>0.03</v>
      </c>
      <c r="P91">
        <v>3.49</v>
      </c>
      <c r="Q91">
        <v>2.7244999999999999</v>
      </c>
      <c r="R91">
        <v>25</v>
      </c>
    </row>
    <row r="92" spans="1:18" x14ac:dyDescent="0.25">
      <c r="A92">
        <v>3</v>
      </c>
      <c r="B92" t="s">
        <v>4</v>
      </c>
      <c r="C92" t="s">
        <v>78</v>
      </c>
      <c r="D92">
        <v>3</v>
      </c>
      <c r="E92" s="1">
        <v>18.333333333333332</v>
      </c>
      <c r="F92" s="1">
        <f t="shared" si="2"/>
        <v>25.351759880406242</v>
      </c>
      <c r="G92">
        <v>0.65</v>
      </c>
      <c r="H92">
        <v>179.4</v>
      </c>
      <c r="I92">
        <v>0</v>
      </c>
      <c r="J92" s="2">
        <v>3.25</v>
      </c>
      <c r="K92">
        <v>23.75</v>
      </c>
      <c r="L92" t="s">
        <v>63</v>
      </c>
      <c r="M92" s="21">
        <v>0.36</v>
      </c>
      <c r="N92" s="21">
        <v>221.15</v>
      </c>
      <c r="O92" s="21">
        <v>0</v>
      </c>
      <c r="P92">
        <v>3.6950000000000003</v>
      </c>
      <c r="Q92">
        <v>2.2069999999999999</v>
      </c>
      <c r="R92">
        <v>18.333333333333332</v>
      </c>
    </row>
    <row r="93" spans="1:18" x14ac:dyDescent="0.25">
      <c r="A93">
        <v>3</v>
      </c>
      <c r="B93" t="s">
        <v>5</v>
      </c>
      <c r="C93" t="s">
        <v>79</v>
      </c>
      <c r="D93">
        <v>1</v>
      </c>
      <c r="E93" s="1">
        <v>25</v>
      </c>
      <c r="F93" s="1">
        <f t="shared" si="2"/>
        <v>30.000000000000004</v>
      </c>
      <c r="G93">
        <v>0.44</v>
      </c>
      <c r="H93">
        <v>197.4</v>
      </c>
      <c r="I93">
        <v>1.02</v>
      </c>
      <c r="J93" s="2">
        <v>3.46</v>
      </c>
      <c r="K93">
        <v>23.75</v>
      </c>
      <c r="L93" t="s">
        <v>63</v>
      </c>
      <c r="M93" s="21">
        <v>0.6</v>
      </c>
      <c r="N93" s="21">
        <v>180</v>
      </c>
      <c r="O93" s="21">
        <v>0.17</v>
      </c>
      <c r="P93">
        <v>3.2850000000000001</v>
      </c>
      <c r="Q93">
        <v>3.0714999999999999</v>
      </c>
      <c r="R93">
        <v>25</v>
      </c>
    </row>
    <row r="94" spans="1:18" x14ac:dyDescent="0.25">
      <c r="A94">
        <v>3</v>
      </c>
      <c r="B94" t="s">
        <v>5</v>
      </c>
      <c r="C94" t="s">
        <v>79</v>
      </c>
      <c r="D94">
        <v>2</v>
      </c>
      <c r="E94" s="1">
        <v>25</v>
      </c>
      <c r="F94" s="1">
        <f t="shared" si="2"/>
        <v>30.000000000000004</v>
      </c>
      <c r="G94">
        <v>0.3</v>
      </c>
      <c r="H94">
        <v>188.5</v>
      </c>
      <c r="I94">
        <v>0.7</v>
      </c>
      <c r="J94" s="2">
        <v>3.41</v>
      </c>
      <c r="K94">
        <v>23.75</v>
      </c>
      <c r="L94" t="s">
        <v>63</v>
      </c>
      <c r="M94" s="21">
        <v>0.43</v>
      </c>
      <c r="N94" s="21">
        <v>200.9</v>
      </c>
      <c r="O94" s="21">
        <v>0.03</v>
      </c>
      <c r="P94">
        <v>3.49</v>
      </c>
      <c r="Q94">
        <v>2.7244999999999999</v>
      </c>
      <c r="R94">
        <v>25</v>
      </c>
    </row>
    <row r="95" spans="1:18" x14ac:dyDescent="0.25">
      <c r="A95">
        <v>3</v>
      </c>
      <c r="B95" t="s">
        <v>5</v>
      </c>
      <c r="C95" t="s">
        <v>79</v>
      </c>
      <c r="D95">
        <v>3</v>
      </c>
      <c r="E95" s="1">
        <v>25</v>
      </c>
      <c r="F95" s="1">
        <f t="shared" si="2"/>
        <v>30.000000000000004</v>
      </c>
      <c r="G95">
        <v>0.33</v>
      </c>
      <c r="H95">
        <v>183.8</v>
      </c>
      <c r="I95">
        <v>0.14000000000000001</v>
      </c>
      <c r="J95" s="2">
        <v>3.77</v>
      </c>
      <c r="K95">
        <v>23.75</v>
      </c>
      <c r="L95" t="s">
        <v>63</v>
      </c>
      <c r="M95" s="21">
        <v>0.36</v>
      </c>
      <c r="N95" s="21">
        <v>221.15</v>
      </c>
      <c r="O95" s="21">
        <v>0</v>
      </c>
      <c r="P95">
        <v>3.6950000000000003</v>
      </c>
      <c r="Q95">
        <v>2.2069999999999999</v>
      </c>
      <c r="R95">
        <v>25</v>
      </c>
    </row>
    <row r="96" spans="1:18" x14ac:dyDescent="0.25">
      <c r="A96">
        <v>3</v>
      </c>
      <c r="B96" t="s">
        <v>17</v>
      </c>
      <c r="C96" t="s">
        <v>81</v>
      </c>
      <c r="D96">
        <v>1</v>
      </c>
      <c r="E96" s="1">
        <v>6.666666666666667</v>
      </c>
      <c r="F96" s="1">
        <f t="shared" si="2"/>
        <v>14.963217433307118</v>
      </c>
      <c r="G96">
        <v>0.69</v>
      </c>
      <c r="H96">
        <v>187.5</v>
      </c>
      <c r="I96">
        <v>0.16</v>
      </c>
      <c r="J96" s="2">
        <v>3.31</v>
      </c>
      <c r="K96">
        <v>23.75</v>
      </c>
      <c r="L96" t="s">
        <v>63</v>
      </c>
      <c r="M96" s="21">
        <v>0.6</v>
      </c>
      <c r="N96" s="21">
        <v>180</v>
      </c>
      <c r="O96" s="21">
        <v>0.17</v>
      </c>
      <c r="P96">
        <v>3.2850000000000001</v>
      </c>
      <c r="Q96">
        <v>3.0714999999999999</v>
      </c>
      <c r="R96">
        <v>6.666666666666667</v>
      </c>
    </row>
    <row r="97" spans="1:18" x14ac:dyDescent="0.25">
      <c r="A97">
        <v>3</v>
      </c>
      <c r="B97" t="s">
        <v>17</v>
      </c>
      <c r="C97" t="s">
        <v>81</v>
      </c>
      <c r="D97">
        <v>2</v>
      </c>
      <c r="E97" s="1">
        <v>20</v>
      </c>
      <c r="F97" s="1">
        <f t="shared" si="2"/>
        <v>26.56505117707799</v>
      </c>
      <c r="G97">
        <v>0.56000000000000005</v>
      </c>
      <c r="H97">
        <v>158.80000000000001</v>
      </c>
      <c r="I97">
        <v>0.18</v>
      </c>
      <c r="J97" s="2">
        <v>3.23</v>
      </c>
      <c r="K97">
        <v>23.75</v>
      </c>
      <c r="L97" t="s">
        <v>63</v>
      </c>
      <c r="M97" s="21">
        <v>0.43</v>
      </c>
      <c r="N97" s="21">
        <v>200.9</v>
      </c>
      <c r="O97" s="21">
        <v>0.03</v>
      </c>
      <c r="P97">
        <v>3.49</v>
      </c>
      <c r="Q97">
        <v>2.7244999999999999</v>
      </c>
      <c r="R97">
        <v>20</v>
      </c>
    </row>
    <row r="98" spans="1:18" x14ac:dyDescent="0.25">
      <c r="A98">
        <v>3</v>
      </c>
      <c r="B98" t="s">
        <v>17</v>
      </c>
      <c r="C98" t="s">
        <v>81</v>
      </c>
      <c r="D98">
        <v>3</v>
      </c>
      <c r="E98" s="1">
        <v>26.666666666666668</v>
      </c>
      <c r="F98" s="1">
        <f t="shared" ref="F98:F129" si="3">ASIN(SQRT(E98/100))*180/PI()</f>
        <v>31.090930357673031</v>
      </c>
      <c r="G98">
        <v>0.52</v>
      </c>
      <c r="H98">
        <v>135.4</v>
      </c>
      <c r="I98">
        <v>0.1</v>
      </c>
      <c r="J98" s="2">
        <v>3.24</v>
      </c>
      <c r="K98">
        <v>23.75</v>
      </c>
      <c r="L98" t="s">
        <v>63</v>
      </c>
      <c r="M98" s="21">
        <v>0.36</v>
      </c>
      <c r="N98" s="21">
        <v>221.15</v>
      </c>
      <c r="O98" s="21">
        <v>0</v>
      </c>
      <c r="P98">
        <v>3.6950000000000003</v>
      </c>
      <c r="Q98">
        <v>2.2069999999999999</v>
      </c>
      <c r="R98">
        <v>26.666666666666668</v>
      </c>
    </row>
    <row r="99" spans="1:18" x14ac:dyDescent="0.25">
      <c r="A99">
        <v>3</v>
      </c>
      <c r="B99" t="s">
        <v>6</v>
      </c>
      <c r="C99" t="s">
        <v>82</v>
      </c>
      <c r="D99">
        <v>1</v>
      </c>
      <c r="E99" s="1">
        <v>35</v>
      </c>
      <c r="F99" s="1">
        <f t="shared" si="3"/>
        <v>36.271198438138953</v>
      </c>
      <c r="G99">
        <v>0.78</v>
      </c>
      <c r="H99">
        <v>160</v>
      </c>
      <c r="I99">
        <v>2.44</v>
      </c>
      <c r="J99" s="2">
        <v>3.87</v>
      </c>
      <c r="K99">
        <v>23.75</v>
      </c>
      <c r="L99" t="s">
        <v>63</v>
      </c>
      <c r="M99" s="21">
        <v>0.6</v>
      </c>
      <c r="N99" s="21">
        <v>180</v>
      </c>
      <c r="O99" s="21">
        <v>0.17</v>
      </c>
      <c r="P99">
        <v>3.2850000000000001</v>
      </c>
      <c r="Q99">
        <v>3.0714999999999999</v>
      </c>
      <c r="R99">
        <v>35</v>
      </c>
    </row>
    <row r="100" spans="1:18" x14ac:dyDescent="0.25">
      <c r="A100">
        <v>3</v>
      </c>
      <c r="B100" t="s">
        <v>6</v>
      </c>
      <c r="C100" t="s">
        <v>82</v>
      </c>
      <c r="D100">
        <v>2</v>
      </c>
      <c r="E100" s="1">
        <v>21.666666666666668</v>
      </c>
      <c r="F100" s="1">
        <f t="shared" si="3"/>
        <v>27.740946079469367</v>
      </c>
      <c r="G100">
        <v>0.77</v>
      </c>
      <c r="H100">
        <v>141.5</v>
      </c>
      <c r="I100">
        <v>2.2000000000000002</v>
      </c>
      <c r="J100" s="2">
        <v>3.93</v>
      </c>
      <c r="K100">
        <v>23.75</v>
      </c>
      <c r="L100" t="s">
        <v>63</v>
      </c>
      <c r="M100" s="21">
        <v>0.43</v>
      </c>
      <c r="N100" s="21">
        <v>200.9</v>
      </c>
      <c r="O100" s="21">
        <v>0.03</v>
      </c>
      <c r="P100">
        <v>3.49</v>
      </c>
      <c r="Q100">
        <v>2.7244999999999999</v>
      </c>
      <c r="R100">
        <v>21.666666666666668</v>
      </c>
    </row>
    <row r="101" spans="1:18" x14ac:dyDescent="0.25">
      <c r="A101">
        <v>3</v>
      </c>
      <c r="B101" t="s">
        <v>6</v>
      </c>
      <c r="C101" t="s">
        <v>82</v>
      </c>
      <c r="D101">
        <v>3</v>
      </c>
      <c r="E101" s="1">
        <v>23.333333333333332</v>
      </c>
      <c r="F101" s="1">
        <f t="shared" si="3"/>
        <v>28.884523682248947</v>
      </c>
      <c r="G101">
        <v>0.64</v>
      </c>
      <c r="H101">
        <v>175.3</v>
      </c>
      <c r="I101">
        <v>1.66</v>
      </c>
      <c r="J101" s="2">
        <v>3.81</v>
      </c>
      <c r="K101">
        <v>23.75</v>
      </c>
      <c r="L101" t="s">
        <v>63</v>
      </c>
      <c r="M101" s="21">
        <v>0.36</v>
      </c>
      <c r="N101" s="21">
        <v>221.15</v>
      </c>
      <c r="O101" s="21">
        <v>0</v>
      </c>
      <c r="P101">
        <v>3.6950000000000003</v>
      </c>
      <c r="Q101">
        <v>2.2069999999999999</v>
      </c>
      <c r="R101">
        <v>23.333333333333332</v>
      </c>
    </row>
    <row r="102" spans="1:18" x14ac:dyDescent="0.25">
      <c r="A102">
        <v>3</v>
      </c>
      <c r="B102" t="s">
        <v>7</v>
      </c>
      <c r="C102" t="s">
        <v>80</v>
      </c>
      <c r="D102">
        <v>1</v>
      </c>
      <c r="E102" s="1">
        <v>21.666666666666668</v>
      </c>
      <c r="F102" s="1">
        <f t="shared" si="3"/>
        <v>27.740946079469367</v>
      </c>
      <c r="G102">
        <v>0.28999999999999998</v>
      </c>
      <c r="H102">
        <v>164.2</v>
      </c>
      <c r="I102">
        <v>0.25</v>
      </c>
      <c r="J102" s="2">
        <v>3.81</v>
      </c>
      <c r="K102">
        <v>23.75</v>
      </c>
      <c r="L102" t="s">
        <v>63</v>
      </c>
      <c r="M102" s="21">
        <v>0.6</v>
      </c>
      <c r="N102" s="21">
        <v>180</v>
      </c>
      <c r="O102" s="21">
        <v>0.17</v>
      </c>
      <c r="P102">
        <v>3.2850000000000001</v>
      </c>
      <c r="Q102">
        <v>3.0714999999999999</v>
      </c>
      <c r="R102">
        <v>21.666666666666668</v>
      </c>
    </row>
    <row r="103" spans="1:18" x14ac:dyDescent="0.25">
      <c r="A103">
        <v>3</v>
      </c>
      <c r="B103" t="s">
        <v>7</v>
      </c>
      <c r="C103" t="s">
        <v>80</v>
      </c>
      <c r="D103">
        <v>2</v>
      </c>
      <c r="E103" s="1">
        <v>21.666666666666668</v>
      </c>
      <c r="F103" s="1">
        <f t="shared" si="3"/>
        <v>27.740946079469367</v>
      </c>
      <c r="G103">
        <v>0.32</v>
      </c>
      <c r="H103">
        <v>182.6</v>
      </c>
      <c r="I103">
        <v>0.2</v>
      </c>
      <c r="J103" s="2">
        <v>3.62</v>
      </c>
      <c r="K103">
        <v>23.75</v>
      </c>
      <c r="L103" t="s">
        <v>63</v>
      </c>
      <c r="M103" s="21">
        <v>0.43</v>
      </c>
      <c r="N103" s="21">
        <v>200.9</v>
      </c>
      <c r="O103" s="21">
        <v>0.03</v>
      </c>
      <c r="P103">
        <v>3.49</v>
      </c>
      <c r="Q103">
        <v>2.7244999999999999</v>
      </c>
      <c r="R103">
        <v>21.666666666666668</v>
      </c>
    </row>
    <row r="104" spans="1:18" x14ac:dyDescent="0.25">
      <c r="A104">
        <v>3</v>
      </c>
      <c r="B104" t="s">
        <v>7</v>
      </c>
      <c r="C104" t="s">
        <v>80</v>
      </c>
      <c r="D104">
        <v>3</v>
      </c>
      <c r="E104" s="1">
        <v>16.666666666666664</v>
      </c>
      <c r="F104" s="1">
        <f t="shared" si="3"/>
        <v>24.094842552110698</v>
      </c>
      <c r="G104">
        <v>0.27</v>
      </c>
      <c r="H104">
        <v>180.9</v>
      </c>
      <c r="I104">
        <v>0.9</v>
      </c>
      <c r="J104" s="2">
        <v>3.74</v>
      </c>
      <c r="K104">
        <v>23.75</v>
      </c>
      <c r="L104" t="s">
        <v>63</v>
      </c>
      <c r="M104" s="21">
        <v>0.36</v>
      </c>
      <c r="N104" s="21">
        <v>221.15</v>
      </c>
      <c r="O104" s="21">
        <v>0</v>
      </c>
      <c r="P104">
        <v>3.6950000000000003</v>
      </c>
      <c r="Q104">
        <v>2.2069999999999999</v>
      </c>
      <c r="R104">
        <v>16.666666666666664</v>
      </c>
    </row>
    <row r="105" spans="1:18" x14ac:dyDescent="0.25">
      <c r="A105">
        <v>3</v>
      </c>
      <c r="B105" t="s">
        <v>9</v>
      </c>
      <c r="C105" t="s">
        <v>83</v>
      </c>
      <c r="D105">
        <v>1</v>
      </c>
      <c r="E105" s="1">
        <v>23.333333333333332</v>
      </c>
      <c r="F105" s="1">
        <f t="shared" si="3"/>
        <v>28.884523682248947</v>
      </c>
      <c r="G105">
        <v>0.74</v>
      </c>
      <c r="H105">
        <v>204.3</v>
      </c>
      <c r="I105">
        <v>0.7</v>
      </c>
      <c r="J105" s="2">
        <v>3.62</v>
      </c>
      <c r="K105">
        <v>23.75</v>
      </c>
      <c r="L105" t="s">
        <v>63</v>
      </c>
      <c r="M105" s="21">
        <v>0.6</v>
      </c>
      <c r="N105" s="21">
        <v>180</v>
      </c>
      <c r="O105" s="21">
        <v>0.17</v>
      </c>
      <c r="P105">
        <v>3.2850000000000001</v>
      </c>
      <c r="Q105">
        <v>3.0714999999999999</v>
      </c>
      <c r="R105">
        <v>23.333333333333332</v>
      </c>
    </row>
    <row r="106" spans="1:18" x14ac:dyDescent="0.25">
      <c r="A106">
        <v>3</v>
      </c>
      <c r="B106" t="s">
        <v>9</v>
      </c>
      <c r="C106" t="s">
        <v>83</v>
      </c>
      <c r="D106">
        <v>2</v>
      </c>
      <c r="E106" s="1">
        <v>25</v>
      </c>
      <c r="F106" s="1">
        <f t="shared" si="3"/>
        <v>30.000000000000004</v>
      </c>
      <c r="G106">
        <v>0.63</v>
      </c>
      <c r="H106">
        <v>157.6</v>
      </c>
      <c r="I106">
        <v>0.21</v>
      </c>
      <c r="J106" s="2">
        <v>3.71</v>
      </c>
      <c r="K106">
        <v>23.75</v>
      </c>
      <c r="L106" t="s">
        <v>63</v>
      </c>
      <c r="M106" s="21">
        <v>0.43</v>
      </c>
      <c r="N106" s="21">
        <v>200.9</v>
      </c>
      <c r="O106" s="21">
        <v>0.03</v>
      </c>
      <c r="P106">
        <v>3.49</v>
      </c>
      <c r="Q106">
        <v>2.7244999999999999</v>
      </c>
      <c r="R106">
        <v>25</v>
      </c>
    </row>
    <row r="107" spans="1:18" x14ac:dyDescent="0.25">
      <c r="A107">
        <v>3</v>
      </c>
      <c r="B107" t="s">
        <v>9</v>
      </c>
      <c r="C107" t="s">
        <v>83</v>
      </c>
      <c r="D107">
        <v>3</v>
      </c>
      <c r="E107" s="1">
        <v>21.666666666666668</v>
      </c>
      <c r="F107" s="1">
        <f t="shared" si="3"/>
        <v>27.740946079469367</v>
      </c>
      <c r="G107">
        <v>0.56999999999999995</v>
      </c>
      <c r="H107">
        <v>188.2</v>
      </c>
      <c r="I107">
        <v>0</v>
      </c>
      <c r="J107" s="2">
        <v>3.5</v>
      </c>
      <c r="K107">
        <v>23.75</v>
      </c>
      <c r="L107" t="s">
        <v>63</v>
      </c>
      <c r="M107" s="21">
        <v>0.36</v>
      </c>
      <c r="N107" s="21">
        <v>221.15</v>
      </c>
      <c r="O107" s="21">
        <v>0</v>
      </c>
      <c r="P107">
        <v>3.6950000000000003</v>
      </c>
      <c r="Q107">
        <v>2.2069999999999999</v>
      </c>
      <c r="R107">
        <v>21.666666666666668</v>
      </c>
    </row>
    <row r="108" spans="1:18" x14ac:dyDescent="0.25">
      <c r="A108">
        <v>3</v>
      </c>
      <c r="B108" t="s">
        <v>10</v>
      </c>
      <c r="C108" t="s">
        <v>84</v>
      </c>
      <c r="D108">
        <v>1</v>
      </c>
      <c r="E108" s="1">
        <v>28.333333333333332</v>
      </c>
      <c r="F108" s="1">
        <f t="shared" si="3"/>
        <v>32.160355690271572</v>
      </c>
      <c r="G108">
        <v>0.67</v>
      </c>
      <c r="H108">
        <v>156.5</v>
      </c>
      <c r="I108">
        <v>0.87</v>
      </c>
      <c r="J108" s="2">
        <v>3.69</v>
      </c>
      <c r="K108">
        <v>23.75</v>
      </c>
      <c r="L108" t="s">
        <v>63</v>
      </c>
      <c r="M108" s="21">
        <v>0.6</v>
      </c>
      <c r="N108" s="21">
        <v>180</v>
      </c>
      <c r="O108" s="21">
        <v>0.17</v>
      </c>
      <c r="P108">
        <v>3.2850000000000001</v>
      </c>
      <c r="Q108">
        <v>3.0714999999999999</v>
      </c>
      <c r="R108">
        <v>28.333333333333332</v>
      </c>
    </row>
    <row r="109" spans="1:18" x14ac:dyDescent="0.25">
      <c r="A109">
        <v>3</v>
      </c>
      <c r="B109" t="s">
        <v>10</v>
      </c>
      <c r="C109" t="s">
        <v>84</v>
      </c>
      <c r="D109">
        <v>2</v>
      </c>
      <c r="E109" s="1">
        <v>25</v>
      </c>
      <c r="F109" s="1">
        <f t="shared" si="3"/>
        <v>30.000000000000004</v>
      </c>
      <c r="G109">
        <v>0.72</v>
      </c>
      <c r="H109">
        <v>156.80000000000001</v>
      </c>
      <c r="I109">
        <v>0</v>
      </c>
      <c r="J109" s="2">
        <v>3.63</v>
      </c>
      <c r="K109">
        <v>23.75</v>
      </c>
      <c r="L109" t="s">
        <v>63</v>
      </c>
      <c r="M109" s="21">
        <v>0.43</v>
      </c>
      <c r="N109" s="21">
        <v>200.9</v>
      </c>
      <c r="O109" s="21">
        <v>0.03</v>
      </c>
      <c r="P109">
        <v>3.49</v>
      </c>
      <c r="Q109">
        <v>2.7244999999999999</v>
      </c>
      <c r="R109">
        <v>25</v>
      </c>
    </row>
    <row r="110" spans="1:18" x14ac:dyDescent="0.25">
      <c r="A110">
        <v>3</v>
      </c>
      <c r="B110" t="s">
        <v>10</v>
      </c>
      <c r="C110" t="s">
        <v>84</v>
      </c>
      <c r="D110">
        <v>3</v>
      </c>
      <c r="E110" s="1">
        <v>26.666666666666668</v>
      </c>
      <c r="F110" s="1">
        <f t="shared" si="3"/>
        <v>31.090930357673031</v>
      </c>
      <c r="G110">
        <v>0.85</v>
      </c>
      <c r="H110">
        <v>142.30000000000001</v>
      </c>
      <c r="I110">
        <v>0.88</v>
      </c>
      <c r="J110" s="2">
        <v>3.44</v>
      </c>
      <c r="K110">
        <v>23.75</v>
      </c>
      <c r="L110" t="s">
        <v>63</v>
      </c>
      <c r="M110" s="21">
        <v>0.36</v>
      </c>
      <c r="N110" s="21">
        <v>221.15</v>
      </c>
      <c r="O110" s="21">
        <v>0</v>
      </c>
      <c r="P110">
        <v>3.6950000000000003</v>
      </c>
      <c r="Q110">
        <v>2.2069999999999999</v>
      </c>
      <c r="R110">
        <v>26.666666666666668</v>
      </c>
    </row>
    <row r="111" spans="1:18" x14ac:dyDescent="0.25">
      <c r="A111">
        <v>3</v>
      </c>
      <c r="B111" t="s">
        <v>11</v>
      </c>
      <c r="C111" t="s">
        <v>85</v>
      </c>
      <c r="D111">
        <v>1</v>
      </c>
      <c r="E111" s="1">
        <v>25</v>
      </c>
      <c r="F111" s="1">
        <f t="shared" si="3"/>
        <v>30.000000000000004</v>
      </c>
      <c r="G111">
        <v>2.31</v>
      </c>
      <c r="H111">
        <v>114.9</v>
      </c>
      <c r="I111">
        <v>0</v>
      </c>
      <c r="J111" s="2">
        <v>3.71</v>
      </c>
      <c r="K111">
        <v>23.75</v>
      </c>
      <c r="L111" t="s">
        <v>63</v>
      </c>
      <c r="M111" s="21">
        <v>0.6</v>
      </c>
      <c r="N111" s="21">
        <v>180</v>
      </c>
      <c r="O111" s="21">
        <v>0.17</v>
      </c>
      <c r="P111">
        <v>3.2850000000000001</v>
      </c>
      <c r="Q111">
        <v>3.0714999999999999</v>
      </c>
      <c r="R111">
        <v>25</v>
      </c>
    </row>
    <row r="112" spans="1:18" x14ac:dyDescent="0.25">
      <c r="A112">
        <v>3</v>
      </c>
      <c r="B112" t="s">
        <v>11</v>
      </c>
      <c r="C112" t="s">
        <v>85</v>
      </c>
      <c r="D112">
        <v>2</v>
      </c>
      <c r="E112" s="1">
        <v>26.666666666666668</v>
      </c>
      <c r="F112" s="1">
        <f t="shared" si="3"/>
        <v>31.090930357673031</v>
      </c>
      <c r="G112">
        <v>2.67</v>
      </c>
      <c r="H112">
        <v>126.4</v>
      </c>
      <c r="I112">
        <v>0</v>
      </c>
      <c r="J112" s="2">
        <v>3.73</v>
      </c>
      <c r="K112">
        <v>23.75</v>
      </c>
      <c r="L112" t="s">
        <v>63</v>
      </c>
      <c r="M112" s="21">
        <v>0.43</v>
      </c>
      <c r="N112" s="21">
        <v>200.9</v>
      </c>
      <c r="O112" s="21">
        <v>0.03</v>
      </c>
      <c r="P112">
        <v>3.49</v>
      </c>
      <c r="Q112">
        <v>2.7244999999999999</v>
      </c>
      <c r="R112">
        <v>26.666666666666668</v>
      </c>
    </row>
    <row r="113" spans="1:18" x14ac:dyDescent="0.25">
      <c r="A113">
        <v>3</v>
      </c>
      <c r="B113" t="s">
        <v>11</v>
      </c>
      <c r="C113" t="s">
        <v>85</v>
      </c>
      <c r="D113">
        <v>3</v>
      </c>
      <c r="E113" s="1">
        <v>23.333333333333332</v>
      </c>
      <c r="F113" s="1">
        <f t="shared" si="3"/>
        <v>28.884523682248947</v>
      </c>
      <c r="G113">
        <v>3.9</v>
      </c>
      <c r="H113">
        <v>150.4</v>
      </c>
      <c r="I113">
        <v>0</v>
      </c>
      <c r="J113" s="2">
        <v>3.65</v>
      </c>
      <c r="K113">
        <v>23.75</v>
      </c>
      <c r="L113" t="s">
        <v>63</v>
      </c>
      <c r="M113" s="21">
        <v>0.36</v>
      </c>
      <c r="N113" s="21">
        <v>221.15</v>
      </c>
      <c r="O113" s="21">
        <v>0</v>
      </c>
      <c r="P113">
        <v>3.6950000000000003</v>
      </c>
      <c r="Q113">
        <v>2.2069999999999999</v>
      </c>
      <c r="R113">
        <v>23.333333333333332</v>
      </c>
    </row>
    <row r="114" spans="1:18" x14ac:dyDescent="0.25">
      <c r="A114">
        <v>3</v>
      </c>
      <c r="B114" t="s">
        <v>12</v>
      </c>
      <c r="C114" t="s">
        <v>86</v>
      </c>
      <c r="D114">
        <v>1</v>
      </c>
      <c r="E114" s="1">
        <v>28.333333333333332</v>
      </c>
      <c r="F114" s="1">
        <f t="shared" si="3"/>
        <v>32.160355690271572</v>
      </c>
      <c r="G114">
        <v>0.63</v>
      </c>
      <c r="H114">
        <v>164.2</v>
      </c>
      <c r="I114">
        <v>0</v>
      </c>
      <c r="J114" s="2">
        <v>3.66</v>
      </c>
      <c r="K114">
        <v>23.75</v>
      </c>
      <c r="L114" t="s">
        <v>63</v>
      </c>
      <c r="M114" s="21">
        <v>0.6</v>
      </c>
      <c r="N114" s="21">
        <v>180</v>
      </c>
      <c r="O114" s="21">
        <v>0.17</v>
      </c>
      <c r="P114">
        <v>3.2850000000000001</v>
      </c>
      <c r="Q114">
        <v>3.0714999999999999</v>
      </c>
      <c r="R114">
        <v>28.333333333333332</v>
      </c>
    </row>
    <row r="115" spans="1:18" x14ac:dyDescent="0.25">
      <c r="A115">
        <v>3</v>
      </c>
      <c r="B115" t="s">
        <v>12</v>
      </c>
      <c r="C115" t="s">
        <v>86</v>
      </c>
      <c r="D115">
        <v>2</v>
      </c>
      <c r="E115" s="1">
        <v>25</v>
      </c>
      <c r="F115" s="1">
        <f t="shared" si="3"/>
        <v>30.000000000000004</v>
      </c>
      <c r="G115">
        <v>0.57999999999999996</v>
      </c>
      <c r="H115">
        <v>158.9</v>
      </c>
      <c r="I115">
        <v>0</v>
      </c>
      <c r="J115" s="2">
        <v>3.66</v>
      </c>
      <c r="K115">
        <v>23.75</v>
      </c>
      <c r="L115" t="s">
        <v>63</v>
      </c>
      <c r="M115" s="21">
        <v>0.43</v>
      </c>
      <c r="N115" s="21">
        <v>200.9</v>
      </c>
      <c r="O115" s="21">
        <v>0.03</v>
      </c>
      <c r="P115">
        <v>3.49</v>
      </c>
      <c r="Q115">
        <v>2.7244999999999999</v>
      </c>
      <c r="R115">
        <v>25</v>
      </c>
    </row>
    <row r="116" spans="1:18" x14ac:dyDescent="0.25">
      <c r="A116">
        <v>3</v>
      </c>
      <c r="B116" t="s">
        <v>12</v>
      </c>
      <c r="C116" t="s">
        <v>86</v>
      </c>
      <c r="D116">
        <v>3</v>
      </c>
      <c r="E116" s="1">
        <v>25</v>
      </c>
      <c r="F116" s="1">
        <f t="shared" si="3"/>
        <v>30.000000000000004</v>
      </c>
      <c r="G116">
        <v>0.52</v>
      </c>
      <c r="H116">
        <v>151.4</v>
      </c>
      <c r="I116">
        <v>0</v>
      </c>
      <c r="J116" s="2">
        <v>3.57</v>
      </c>
      <c r="K116">
        <v>23.75</v>
      </c>
      <c r="L116" t="s">
        <v>63</v>
      </c>
      <c r="M116" s="21">
        <v>0.36</v>
      </c>
      <c r="N116" s="21">
        <v>221.15</v>
      </c>
      <c r="O116" s="21">
        <v>0</v>
      </c>
      <c r="P116">
        <v>3.6950000000000003</v>
      </c>
      <c r="Q116">
        <v>2.2069999999999999</v>
      </c>
      <c r="R116">
        <v>25</v>
      </c>
    </row>
    <row r="117" spans="1:18" x14ac:dyDescent="0.25">
      <c r="A117">
        <v>3</v>
      </c>
      <c r="B117" t="s">
        <v>13</v>
      </c>
      <c r="C117" t="s">
        <v>87</v>
      </c>
      <c r="D117">
        <v>1</v>
      </c>
      <c r="E117" s="1">
        <v>31.666666666666664</v>
      </c>
      <c r="F117" s="1">
        <f t="shared" si="3"/>
        <v>34.244905866556266</v>
      </c>
      <c r="G117">
        <v>0.77</v>
      </c>
      <c r="H117">
        <v>147.5</v>
      </c>
      <c r="I117">
        <v>0.88</v>
      </c>
      <c r="J117" s="2">
        <v>3.59</v>
      </c>
      <c r="K117">
        <v>23.75</v>
      </c>
      <c r="L117" t="s">
        <v>63</v>
      </c>
      <c r="M117" s="21">
        <v>0.6</v>
      </c>
      <c r="N117" s="21">
        <v>180</v>
      </c>
      <c r="O117" s="21">
        <v>0.17</v>
      </c>
      <c r="P117">
        <v>3.2850000000000001</v>
      </c>
      <c r="Q117">
        <v>3.0714999999999999</v>
      </c>
      <c r="R117">
        <v>31.666666666666664</v>
      </c>
    </row>
    <row r="118" spans="1:18" x14ac:dyDescent="0.25">
      <c r="A118">
        <v>3</v>
      </c>
      <c r="B118" t="s">
        <v>13</v>
      </c>
      <c r="C118" t="s">
        <v>87</v>
      </c>
      <c r="D118">
        <v>2</v>
      </c>
      <c r="E118" s="1">
        <v>28.333333333333332</v>
      </c>
      <c r="F118" s="1">
        <f t="shared" si="3"/>
        <v>32.160355690271572</v>
      </c>
      <c r="G118">
        <v>0.88</v>
      </c>
      <c r="H118">
        <v>160</v>
      </c>
      <c r="I118">
        <v>0.92</v>
      </c>
      <c r="J118" s="2">
        <v>3.71</v>
      </c>
      <c r="K118">
        <v>23.75</v>
      </c>
      <c r="L118" t="s">
        <v>63</v>
      </c>
      <c r="M118" s="21">
        <v>0.43</v>
      </c>
      <c r="N118" s="21">
        <v>200.9</v>
      </c>
      <c r="O118" s="21">
        <v>0.03</v>
      </c>
      <c r="P118">
        <v>3.49</v>
      </c>
      <c r="Q118">
        <v>2.7244999999999999</v>
      </c>
      <c r="R118">
        <v>28.333333333333332</v>
      </c>
    </row>
    <row r="119" spans="1:18" x14ac:dyDescent="0.25">
      <c r="A119">
        <v>3</v>
      </c>
      <c r="B119" t="s">
        <v>13</v>
      </c>
      <c r="C119" t="s">
        <v>87</v>
      </c>
      <c r="D119">
        <v>3</v>
      </c>
      <c r="E119" s="1">
        <v>33.333333333333329</v>
      </c>
      <c r="F119" s="1">
        <f t="shared" si="3"/>
        <v>35.264389682754654</v>
      </c>
      <c r="G119">
        <v>0.56999999999999995</v>
      </c>
      <c r="H119">
        <v>109.5</v>
      </c>
      <c r="I119">
        <v>0</v>
      </c>
      <c r="J119" s="2">
        <v>3.68</v>
      </c>
      <c r="K119">
        <v>23.75</v>
      </c>
      <c r="L119" t="s">
        <v>63</v>
      </c>
      <c r="M119" s="21">
        <v>0.36</v>
      </c>
      <c r="N119" s="21">
        <v>221.15</v>
      </c>
      <c r="O119" s="21">
        <v>0</v>
      </c>
      <c r="P119">
        <v>3.6950000000000003</v>
      </c>
      <c r="Q119">
        <v>2.2069999999999999</v>
      </c>
      <c r="R119">
        <v>33.333333333333329</v>
      </c>
    </row>
    <row r="120" spans="1:18" x14ac:dyDescent="0.25">
      <c r="A120">
        <v>3</v>
      </c>
      <c r="B120" t="s">
        <v>14</v>
      </c>
      <c r="C120" t="s">
        <v>88</v>
      </c>
      <c r="D120">
        <v>1</v>
      </c>
      <c r="E120" s="1">
        <v>25</v>
      </c>
      <c r="F120" s="1">
        <f t="shared" si="3"/>
        <v>30.000000000000004</v>
      </c>
      <c r="G120">
        <v>0.43</v>
      </c>
      <c r="H120">
        <v>180.1</v>
      </c>
      <c r="I120">
        <v>0</v>
      </c>
      <c r="J120" s="2">
        <v>3.6</v>
      </c>
      <c r="K120">
        <v>23.75</v>
      </c>
      <c r="L120" t="s">
        <v>63</v>
      </c>
      <c r="M120" s="21">
        <v>0.6</v>
      </c>
      <c r="N120" s="21">
        <v>180</v>
      </c>
      <c r="O120" s="21">
        <v>0.17</v>
      </c>
      <c r="P120">
        <v>3.2850000000000001</v>
      </c>
      <c r="Q120">
        <v>3.0714999999999999</v>
      </c>
      <c r="R120">
        <v>25</v>
      </c>
    </row>
    <row r="121" spans="1:18" x14ac:dyDescent="0.25">
      <c r="A121">
        <v>3</v>
      </c>
      <c r="B121" t="s">
        <v>14</v>
      </c>
      <c r="C121" t="s">
        <v>88</v>
      </c>
      <c r="D121">
        <v>2</v>
      </c>
      <c r="E121" s="1">
        <v>11.666666666666666</v>
      </c>
      <c r="F121" s="1">
        <f t="shared" si="3"/>
        <v>19.972252594907442</v>
      </c>
      <c r="G121">
        <v>0.44</v>
      </c>
      <c r="H121">
        <v>189.2</v>
      </c>
      <c r="I121">
        <v>0</v>
      </c>
      <c r="J121" s="2">
        <v>3.41</v>
      </c>
      <c r="K121">
        <v>23.75</v>
      </c>
      <c r="L121" t="s">
        <v>63</v>
      </c>
      <c r="M121" s="21">
        <v>0.43</v>
      </c>
      <c r="N121" s="21">
        <v>200.9</v>
      </c>
      <c r="O121" s="21">
        <v>0.03</v>
      </c>
      <c r="P121">
        <v>3.49</v>
      </c>
      <c r="Q121">
        <v>2.7244999999999999</v>
      </c>
      <c r="R121">
        <v>11.666666666666666</v>
      </c>
    </row>
    <row r="122" spans="1:18" x14ac:dyDescent="0.25">
      <c r="A122">
        <v>3</v>
      </c>
      <c r="B122" t="s">
        <v>14</v>
      </c>
      <c r="C122" t="s">
        <v>88</v>
      </c>
      <c r="D122">
        <v>3</v>
      </c>
      <c r="E122" s="1">
        <v>16.666666666666664</v>
      </c>
      <c r="F122" s="1">
        <f t="shared" si="3"/>
        <v>24.094842552110698</v>
      </c>
      <c r="G122">
        <v>0.52</v>
      </c>
      <c r="H122">
        <v>210.3</v>
      </c>
      <c r="I122">
        <v>0</v>
      </c>
      <c r="J122" s="2">
        <v>3.63</v>
      </c>
      <c r="K122">
        <v>23.75</v>
      </c>
      <c r="L122" t="s">
        <v>63</v>
      </c>
      <c r="M122" s="21">
        <v>0.36</v>
      </c>
      <c r="N122" s="21">
        <v>221.15</v>
      </c>
      <c r="O122" s="21">
        <v>0</v>
      </c>
      <c r="P122">
        <v>3.6950000000000003</v>
      </c>
      <c r="Q122">
        <v>2.2069999999999999</v>
      </c>
      <c r="R122">
        <v>16.666666666666664</v>
      </c>
    </row>
    <row r="123" spans="1:18" x14ac:dyDescent="0.25">
      <c r="A123">
        <v>4</v>
      </c>
      <c r="B123" t="s">
        <v>4</v>
      </c>
      <c r="C123" t="s">
        <v>78</v>
      </c>
      <c r="D123">
        <v>1</v>
      </c>
      <c r="E123" s="1">
        <v>12.5</v>
      </c>
      <c r="F123" s="1">
        <f t="shared" si="3"/>
        <v>20.704811054635432</v>
      </c>
      <c r="G123">
        <v>0.42</v>
      </c>
      <c r="H123">
        <v>201.8</v>
      </c>
      <c r="I123">
        <v>1.51</v>
      </c>
      <c r="J123" s="2">
        <v>4.54</v>
      </c>
      <c r="K123">
        <v>23.75</v>
      </c>
      <c r="L123" t="s">
        <v>63</v>
      </c>
      <c r="M123" s="21">
        <v>0.39</v>
      </c>
      <c r="N123" s="21">
        <v>202.95</v>
      </c>
      <c r="O123" s="21">
        <v>0.64</v>
      </c>
      <c r="P123">
        <v>3.96</v>
      </c>
      <c r="Q123">
        <v>1.6324999999999998</v>
      </c>
      <c r="R123">
        <v>12.5</v>
      </c>
    </row>
    <row r="124" spans="1:18" x14ac:dyDescent="0.25">
      <c r="A124">
        <v>4</v>
      </c>
      <c r="B124" t="s">
        <v>4</v>
      </c>
      <c r="C124" t="s">
        <v>78</v>
      </c>
      <c r="D124">
        <v>2</v>
      </c>
      <c r="E124" s="1">
        <v>22.916666666666664</v>
      </c>
      <c r="F124" s="1">
        <f t="shared" si="3"/>
        <v>28.601415852088177</v>
      </c>
      <c r="G124">
        <v>0.59</v>
      </c>
      <c r="H124">
        <v>185.1</v>
      </c>
      <c r="I124">
        <v>1.47</v>
      </c>
      <c r="J124" s="2">
        <v>3.52</v>
      </c>
      <c r="K124">
        <v>23.75</v>
      </c>
      <c r="L124" t="s">
        <v>63</v>
      </c>
      <c r="M124" s="21">
        <v>0.3</v>
      </c>
      <c r="N124" s="21">
        <v>186.95</v>
      </c>
      <c r="O124" s="21">
        <v>0.89</v>
      </c>
      <c r="P124">
        <v>3.96</v>
      </c>
      <c r="Q124">
        <v>1.6400000000000001</v>
      </c>
      <c r="R124">
        <v>22.916666666666664</v>
      </c>
    </row>
    <row r="125" spans="1:18" x14ac:dyDescent="0.25">
      <c r="A125">
        <v>4</v>
      </c>
      <c r="B125" t="s">
        <v>4</v>
      </c>
      <c r="C125" t="s">
        <v>78</v>
      </c>
      <c r="D125">
        <v>3</v>
      </c>
      <c r="E125" s="1">
        <v>18.75</v>
      </c>
      <c r="F125" s="1">
        <f t="shared" si="3"/>
        <v>25.658906273255283</v>
      </c>
      <c r="G125">
        <v>0.59</v>
      </c>
      <c r="H125">
        <v>164.6</v>
      </c>
      <c r="I125">
        <v>1.37</v>
      </c>
      <c r="J125" s="2">
        <v>3.41</v>
      </c>
      <c r="K125">
        <v>23.75</v>
      </c>
      <c r="L125" t="s">
        <v>63</v>
      </c>
      <c r="M125" s="21">
        <v>0.36</v>
      </c>
      <c r="N125" s="21">
        <v>176.25</v>
      </c>
      <c r="O125" s="21">
        <v>0.37</v>
      </c>
      <c r="P125">
        <v>4.0350000000000001</v>
      </c>
      <c r="Q125">
        <v>1.7244999999999999</v>
      </c>
      <c r="R125">
        <v>18.75</v>
      </c>
    </row>
    <row r="126" spans="1:18" x14ac:dyDescent="0.25">
      <c r="A126">
        <v>4</v>
      </c>
      <c r="B126" t="s">
        <v>5</v>
      </c>
      <c r="C126" t="s">
        <v>79</v>
      </c>
      <c r="D126">
        <v>1</v>
      </c>
      <c r="E126" s="1">
        <v>2.083333333333333</v>
      </c>
      <c r="F126" s="1">
        <f t="shared" si="3"/>
        <v>8.2989210679332803</v>
      </c>
      <c r="G126">
        <v>0.13</v>
      </c>
      <c r="H126">
        <v>212.2</v>
      </c>
      <c r="I126">
        <v>0.22</v>
      </c>
      <c r="J126" s="2">
        <v>5.0999999999999996</v>
      </c>
      <c r="K126">
        <v>23.75</v>
      </c>
      <c r="L126" t="s">
        <v>63</v>
      </c>
      <c r="M126" s="21">
        <v>0.39</v>
      </c>
      <c r="N126" s="21">
        <v>202.95</v>
      </c>
      <c r="O126" s="21">
        <v>0.64</v>
      </c>
      <c r="P126">
        <v>3.96</v>
      </c>
      <c r="Q126">
        <v>1.6324999999999998</v>
      </c>
      <c r="R126">
        <v>2.083333333333333</v>
      </c>
    </row>
    <row r="127" spans="1:18" x14ac:dyDescent="0.25">
      <c r="A127">
        <v>4</v>
      </c>
      <c r="B127" t="s">
        <v>5</v>
      </c>
      <c r="C127" t="s">
        <v>79</v>
      </c>
      <c r="D127">
        <v>2</v>
      </c>
      <c r="E127" s="1">
        <v>0</v>
      </c>
      <c r="F127" s="1">
        <f t="shared" si="3"/>
        <v>0</v>
      </c>
      <c r="G127">
        <v>0.19</v>
      </c>
      <c r="H127">
        <v>206.8</v>
      </c>
      <c r="I127">
        <v>0</v>
      </c>
      <c r="J127" s="2">
        <v>5.16</v>
      </c>
      <c r="K127">
        <v>23.75</v>
      </c>
      <c r="L127" t="s">
        <v>63</v>
      </c>
      <c r="M127" s="21">
        <v>0.3</v>
      </c>
      <c r="N127" s="21">
        <v>186.95</v>
      </c>
      <c r="O127" s="21">
        <v>0.89</v>
      </c>
      <c r="P127">
        <v>3.96</v>
      </c>
      <c r="Q127">
        <v>1.6400000000000001</v>
      </c>
      <c r="R127">
        <v>0</v>
      </c>
    </row>
    <row r="128" spans="1:18" x14ac:dyDescent="0.25">
      <c r="A128">
        <v>4</v>
      </c>
      <c r="B128" t="s">
        <v>5</v>
      </c>
      <c r="C128" t="s">
        <v>79</v>
      </c>
      <c r="D128">
        <v>3</v>
      </c>
      <c r="E128" s="1">
        <v>0</v>
      </c>
      <c r="F128" s="1">
        <f t="shared" si="3"/>
        <v>0</v>
      </c>
      <c r="G128">
        <v>0.22</v>
      </c>
      <c r="H128">
        <v>206.2</v>
      </c>
      <c r="I128">
        <v>0</v>
      </c>
      <c r="J128" s="2">
        <v>5.47</v>
      </c>
      <c r="K128">
        <v>23.75</v>
      </c>
      <c r="L128" t="s">
        <v>63</v>
      </c>
      <c r="M128" s="21">
        <v>0.36</v>
      </c>
      <c r="N128" s="21">
        <v>176.25</v>
      </c>
      <c r="O128" s="21">
        <v>0.37</v>
      </c>
      <c r="P128">
        <v>4.0350000000000001</v>
      </c>
      <c r="Q128">
        <v>1.7244999999999999</v>
      </c>
      <c r="R128">
        <v>0</v>
      </c>
    </row>
    <row r="129" spans="1:18" x14ac:dyDescent="0.25">
      <c r="A129">
        <v>4</v>
      </c>
      <c r="B129" t="s">
        <v>17</v>
      </c>
      <c r="C129" t="s">
        <v>81</v>
      </c>
      <c r="D129">
        <v>1</v>
      </c>
      <c r="E129" s="1">
        <v>16.666666666666664</v>
      </c>
      <c r="F129" s="1">
        <f t="shared" si="3"/>
        <v>24.094842552110698</v>
      </c>
      <c r="G129">
        <v>0.57999999999999996</v>
      </c>
      <c r="H129">
        <v>190.6</v>
      </c>
      <c r="I129">
        <v>2.15</v>
      </c>
      <c r="J129" s="2">
        <v>3.59</v>
      </c>
      <c r="K129">
        <v>23.75</v>
      </c>
      <c r="L129" t="s">
        <v>63</v>
      </c>
      <c r="M129" s="21">
        <v>0.39</v>
      </c>
      <c r="N129" s="21">
        <v>202.95</v>
      </c>
      <c r="O129" s="21">
        <v>0.64</v>
      </c>
      <c r="P129">
        <v>3.96</v>
      </c>
      <c r="Q129">
        <v>1.6324999999999998</v>
      </c>
      <c r="R129">
        <v>16.666666666666664</v>
      </c>
    </row>
    <row r="130" spans="1:18" x14ac:dyDescent="0.25">
      <c r="A130">
        <v>4</v>
      </c>
      <c r="B130" t="s">
        <v>17</v>
      </c>
      <c r="C130" t="s">
        <v>81</v>
      </c>
      <c r="D130">
        <v>2</v>
      </c>
      <c r="E130" s="1">
        <v>20.833333333333336</v>
      </c>
      <c r="F130" s="1">
        <f t="shared" ref="F130:F155" si="4">ASIN(SQRT(E130/100))*180/PI()</f>
        <v>27.157332643673978</v>
      </c>
      <c r="G130">
        <v>0.54</v>
      </c>
      <c r="H130">
        <v>219.7</v>
      </c>
      <c r="I130">
        <v>1.93</v>
      </c>
      <c r="J130" s="2">
        <v>3.45</v>
      </c>
      <c r="K130">
        <v>23.75</v>
      </c>
      <c r="L130" t="s">
        <v>63</v>
      </c>
      <c r="M130" s="21">
        <v>0.3</v>
      </c>
      <c r="N130" s="21">
        <v>186.95</v>
      </c>
      <c r="O130" s="21">
        <v>0.89</v>
      </c>
      <c r="P130">
        <v>3.96</v>
      </c>
      <c r="Q130">
        <v>1.6400000000000001</v>
      </c>
      <c r="R130">
        <v>20.833333333333336</v>
      </c>
    </row>
    <row r="131" spans="1:18" x14ac:dyDescent="0.25">
      <c r="A131">
        <v>4</v>
      </c>
      <c r="B131" t="s">
        <v>17</v>
      </c>
      <c r="C131" t="s">
        <v>81</v>
      </c>
      <c r="D131">
        <v>3</v>
      </c>
      <c r="E131" s="1">
        <v>18.75</v>
      </c>
      <c r="F131" s="1">
        <f t="shared" si="4"/>
        <v>25.658906273255283</v>
      </c>
      <c r="G131">
        <v>0.37</v>
      </c>
      <c r="H131">
        <v>198.1</v>
      </c>
      <c r="I131">
        <v>1.67</v>
      </c>
      <c r="J131" s="2">
        <v>3.51</v>
      </c>
      <c r="K131">
        <v>23.75</v>
      </c>
      <c r="L131" t="s">
        <v>63</v>
      </c>
      <c r="M131" s="21">
        <v>0.36</v>
      </c>
      <c r="N131" s="21">
        <v>176.25</v>
      </c>
      <c r="O131" s="21">
        <v>0.37</v>
      </c>
      <c r="P131">
        <v>4.0350000000000001</v>
      </c>
      <c r="Q131">
        <v>1.7244999999999999</v>
      </c>
      <c r="R131">
        <v>18.75</v>
      </c>
    </row>
    <row r="132" spans="1:18" x14ac:dyDescent="0.25">
      <c r="A132">
        <v>4</v>
      </c>
      <c r="B132" t="s">
        <v>6</v>
      </c>
      <c r="C132" t="s">
        <v>82</v>
      </c>
      <c r="D132">
        <v>1</v>
      </c>
      <c r="E132" s="1">
        <v>37.5</v>
      </c>
      <c r="F132" s="1">
        <f t="shared" si="4"/>
        <v>37.761243907035038</v>
      </c>
      <c r="G132">
        <v>3.75</v>
      </c>
      <c r="H132">
        <v>142.4</v>
      </c>
      <c r="I132">
        <v>1.59</v>
      </c>
      <c r="J132" s="2">
        <v>3.66</v>
      </c>
      <c r="K132">
        <v>23.75</v>
      </c>
      <c r="L132" t="s">
        <v>63</v>
      </c>
      <c r="M132" s="21">
        <v>0.39</v>
      </c>
      <c r="N132" s="21">
        <v>202.95</v>
      </c>
      <c r="O132" s="21">
        <v>0.64</v>
      </c>
      <c r="P132">
        <v>3.96</v>
      </c>
      <c r="Q132">
        <v>1.6324999999999998</v>
      </c>
      <c r="R132">
        <v>37.5</v>
      </c>
    </row>
    <row r="133" spans="1:18" x14ac:dyDescent="0.25">
      <c r="A133">
        <v>4</v>
      </c>
      <c r="B133" t="s">
        <v>6</v>
      </c>
      <c r="C133" t="s">
        <v>82</v>
      </c>
      <c r="D133">
        <v>2</v>
      </c>
      <c r="E133" s="1">
        <v>31.25</v>
      </c>
      <c r="F133" s="1">
        <f t="shared" si="4"/>
        <v>33.987843581478927</v>
      </c>
      <c r="G133">
        <v>3.05</v>
      </c>
      <c r="H133">
        <v>128.80000000000001</v>
      </c>
      <c r="I133">
        <v>0.94</v>
      </c>
      <c r="J133" s="2">
        <v>3.93</v>
      </c>
      <c r="K133">
        <v>23.75</v>
      </c>
      <c r="L133" t="s">
        <v>63</v>
      </c>
      <c r="M133" s="21">
        <v>0.3</v>
      </c>
      <c r="N133" s="21">
        <v>186.95</v>
      </c>
      <c r="O133" s="21">
        <v>0.89</v>
      </c>
      <c r="P133">
        <v>3.96</v>
      </c>
      <c r="Q133">
        <v>1.6400000000000001</v>
      </c>
      <c r="R133">
        <v>31.25</v>
      </c>
    </row>
    <row r="134" spans="1:18" x14ac:dyDescent="0.25">
      <c r="A134">
        <v>4</v>
      </c>
      <c r="B134" t="s">
        <v>6</v>
      </c>
      <c r="C134" t="s">
        <v>82</v>
      </c>
      <c r="D134">
        <v>3</v>
      </c>
      <c r="E134" s="1">
        <v>37.5</v>
      </c>
      <c r="F134" s="1">
        <f t="shared" si="4"/>
        <v>37.761243907035038</v>
      </c>
      <c r="G134">
        <v>2.84</v>
      </c>
      <c r="H134">
        <v>137.30000000000001</v>
      </c>
      <c r="I134">
        <v>1.1200000000000001</v>
      </c>
      <c r="J134" s="2">
        <v>3.84</v>
      </c>
      <c r="K134">
        <v>23.75</v>
      </c>
      <c r="L134" t="s">
        <v>63</v>
      </c>
      <c r="M134" s="21">
        <v>0.36</v>
      </c>
      <c r="N134" s="21">
        <v>176.25</v>
      </c>
      <c r="O134" s="21">
        <v>0.37</v>
      </c>
      <c r="P134">
        <v>4.0350000000000001</v>
      </c>
      <c r="Q134">
        <v>1.7244999999999999</v>
      </c>
      <c r="R134">
        <v>37.5</v>
      </c>
    </row>
    <row r="135" spans="1:18" x14ac:dyDescent="0.25">
      <c r="A135">
        <v>4</v>
      </c>
      <c r="B135" t="s">
        <v>7</v>
      </c>
      <c r="C135" t="s">
        <v>80</v>
      </c>
      <c r="D135">
        <v>1</v>
      </c>
      <c r="E135" s="1">
        <v>0</v>
      </c>
      <c r="F135" s="1">
        <f t="shared" si="4"/>
        <v>0</v>
      </c>
      <c r="G135">
        <v>0.11</v>
      </c>
      <c r="H135">
        <v>199.9</v>
      </c>
      <c r="I135">
        <v>1.32</v>
      </c>
      <c r="J135" s="2">
        <v>4</v>
      </c>
      <c r="K135">
        <v>23.75</v>
      </c>
      <c r="L135" t="s">
        <v>63</v>
      </c>
      <c r="M135" s="21">
        <v>0.39</v>
      </c>
      <c r="N135" s="21">
        <v>202.95</v>
      </c>
      <c r="O135" s="21">
        <v>0.64</v>
      </c>
      <c r="P135">
        <v>3.96</v>
      </c>
      <c r="Q135">
        <v>1.6324999999999998</v>
      </c>
      <c r="R135">
        <v>0</v>
      </c>
    </row>
    <row r="136" spans="1:18" x14ac:dyDescent="0.25">
      <c r="A136">
        <v>4</v>
      </c>
      <c r="B136" t="s">
        <v>7</v>
      </c>
      <c r="C136" t="s">
        <v>80</v>
      </c>
      <c r="D136">
        <v>2</v>
      </c>
      <c r="E136" s="1">
        <v>6.25</v>
      </c>
      <c r="F136" s="1">
        <f t="shared" si="4"/>
        <v>14.477512185929923</v>
      </c>
      <c r="G136">
        <v>0.22</v>
      </c>
      <c r="H136">
        <v>193.6</v>
      </c>
      <c r="I136">
        <v>0.8</v>
      </c>
      <c r="J136" s="2">
        <v>3.93</v>
      </c>
      <c r="K136">
        <v>23.75</v>
      </c>
      <c r="L136" t="s">
        <v>63</v>
      </c>
      <c r="M136" s="21">
        <v>0.3</v>
      </c>
      <c r="N136" s="21">
        <v>186.95</v>
      </c>
      <c r="O136" s="21">
        <v>0.89</v>
      </c>
      <c r="P136">
        <v>3.96</v>
      </c>
      <c r="Q136">
        <v>1.6400000000000001</v>
      </c>
      <c r="R136">
        <v>6.25</v>
      </c>
    </row>
    <row r="137" spans="1:18" x14ac:dyDescent="0.25">
      <c r="A137">
        <v>4</v>
      </c>
      <c r="B137" t="s">
        <v>7</v>
      </c>
      <c r="C137" t="s">
        <v>80</v>
      </c>
      <c r="D137">
        <v>3</v>
      </c>
      <c r="E137" s="1">
        <v>0</v>
      </c>
      <c r="F137" s="1">
        <f t="shared" si="4"/>
        <v>0</v>
      </c>
      <c r="G137">
        <v>0.27</v>
      </c>
      <c r="H137">
        <v>190</v>
      </c>
      <c r="I137">
        <v>0.69</v>
      </c>
      <c r="J137" s="2">
        <v>3.9</v>
      </c>
      <c r="K137">
        <v>23.75</v>
      </c>
      <c r="L137" t="s">
        <v>63</v>
      </c>
      <c r="M137" s="21">
        <v>0.36</v>
      </c>
      <c r="N137" s="21">
        <v>176.25</v>
      </c>
      <c r="O137" s="21">
        <v>0.37</v>
      </c>
      <c r="P137">
        <v>4.0350000000000001</v>
      </c>
      <c r="Q137">
        <v>1.7244999999999999</v>
      </c>
      <c r="R137">
        <v>0</v>
      </c>
    </row>
    <row r="138" spans="1:18" x14ac:dyDescent="0.25">
      <c r="A138">
        <v>4</v>
      </c>
      <c r="B138" t="s">
        <v>9</v>
      </c>
      <c r="C138" t="s">
        <v>83</v>
      </c>
      <c r="D138">
        <v>1</v>
      </c>
      <c r="E138" s="1">
        <v>8.3333333333333321</v>
      </c>
      <c r="F138" s="1">
        <f t="shared" si="4"/>
        <v>16.778654880960357</v>
      </c>
      <c r="G138">
        <v>0.65</v>
      </c>
      <c r="H138">
        <v>132.9</v>
      </c>
      <c r="I138">
        <v>0</v>
      </c>
      <c r="J138" s="2">
        <v>3.82</v>
      </c>
      <c r="K138">
        <v>23.75</v>
      </c>
      <c r="L138" t="s">
        <v>63</v>
      </c>
      <c r="M138" s="21">
        <v>0.39</v>
      </c>
      <c r="N138" s="21">
        <v>202.95</v>
      </c>
      <c r="O138" s="21">
        <v>0.64</v>
      </c>
      <c r="P138">
        <v>3.96</v>
      </c>
      <c r="Q138">
        <v>1.6324999999999998</v>
      </c>
      <c r="R138">
        <v>8.3333333333333321</v>
      </c>
    </row>
    <row r="139" spans="1:18" x14ac:dyDescent="0.25">
      <c r="A139">
        <v>4</v>
      </c>
      <c r="B139" t="s">
        <v>9</v>
      </c>
      <c r="C139" t="s">
        <v>83</v>
      </c>
      <c r="D139">
        <v>2</v>
      </c>
      <c r="E139" s="1">
        <v>12.5</v>
      </c>
      <c r="F139" s="1">
        <f t="shared" si="4"/>
        <v>20.704811054635432</v>
      </c>
      <c r="G139">
        <v>0.67</v>
      </c>
      <c r="H139">
        <v>107.9</v>
      </c>
      <c r="I139">
        <v>0</v>
      </c>
      <c r="J139" s="2">
        <v>3.73</v>
      </c>
      <c r="K139">
        <v>23.75</v>
      </c>
      <c r="L139" t="s">
        <v>63</v>
      </c>
      <c r="M139" s="21">
        <v>0.3</v>
      </c>
      <c r="N139" s="21">
        <v>186.95</v>
      </c>
      <c r="O139" s="21">
        <v>0.89</v>
      </c>
      <c r="P139">
        <v>3.96</v>
      </c>
      <c r="Q139">
        <v>1.6400000000000001</v>
      </c>
      <c r="R139">
        <v>12.5</v>
      </c>
    </row>
    <row r="140" spans="1:18" x14ac:dyDescent="0.25">
      <c r="A140">
        <v>4</v>
      </c>
      <c r="B140" t="s">
        <v>9</v>
      </c>
      <c r="C140" t="s">
        <v>83</v>
      </c>
      <c r="D140">
        <v>3</v>
      </c>
      <c r="E140" s="1">
        <v>16.666666666666664</v>
      </c>
      <c r="F140" s="1">
        <f t="shared" si="4"/>
        <v>24.094842552110698</v>
      </c>
      <c r="G140">
        <v>0.59</v>
      </c>
      <c r="H140">
        <v>173.1</v>
      </c>
      <c r="I140">
        <v>0</v>
      </c>
      <c r="J140" s="2">
        <v>4.03</v>
      </c>
      <c r="K140">
        <v>23.75</v>
      </c>
      <c r="L140" t="s">
        <v>63</v>
      </c>
      <c r="M140" s="21">
        <v>0.36</v>
      </c>
      <c r="N140" s="21">
        <v>176.25</v>
      </c>
      <c r="O140" s="21">
        <v>0.37</v>
      </c>
      <c r="P140">
        <v>4.0350000000000001</v>
      </c>
      <c r="Q140">
        <v>1.7244999999999999</v>
      </c>
      <c r="R140">
        <v>16.666666666666664</v>
      </c>
    </row>
    <row r="141" spans="1:18" x14ac:dyDescent="0.25">
      <c r="A141">
        <v>4</v>
      </c>
      <c r="B141" t="s">
        <v>10</v>
      </c>
      <c r="C141" t="s">
        <v>84</v>
      </c>
      <c r="D141">
        <v>1</v>
      </c>
      <c r="E141" s="1">
        <v>35.416666666666671</v>
      </c>
      <c r="F141" s="1">
        <f t="shared" si="4"/>
        <v>36.521118349997934</v>
      </c>
      <c r="G141">
        <v>1.2</v>
      </c>
      <c r="H141">
        <v>105.2</v>
      </c>
      <c r="I141">
        <v>2.2799999999999998</v>
      </c>
      <c r="J141" s="2">
        <v>3.97</v>
      </c>
      <c r="K141">
        <v>23.75</v>
      </c>
      <c r="L141" t="s">
        <v>63</v>
      </c>
      <c r="M141" s="21">
        <v>0.39</v>
      </c>
      <c r="N141" s="21">
        <v>202.95</v>
      </c>
      <c r="O141" s="21">
        <v>0.64</v>
      </c>
      <c r="P141">
        <v>3.96</v>
      </c>
      <c r="Q141">
        <v>1.6324999999999998</v>
      </c>
      <c r="R141">
        <v>35.416666666666671</v>
      </c>
    </row>
    <row r="142" spans="1:18" x14ac:dyDescent="0.25">
      <c r="A142">
        <v>4</v>
      </c>
      <c r="B142" t="s">
        <v>10</v>
      </c>
      <c r="C142" t="s">
        <v>84</v>
      </c>
      <c r="D142">
        <v>2</v>
      </c>
      <c r="E142" s="1">
        <v>27.083333333333332</v>
      </c>
      <c r="F142" s="1">
        <f t="shared" si="4"/>
        <v>31.360193632010947</v>
      </c>
      <c r="G142">
        <v>0.92</v>
      </c>
      <c r="H142">
        <v>123.9</v>
      </c>
      <c r="I142">
        <v>0</v>
      </c>
      <c r="J142" s="2">
        <v>4.07</v>
      </c>
      <c r="K142">
        <v>23.75</v>
      </c>
      <c r="L142" t="s">
        <v>63</v>
      </c>
      <c r="M142" s="21">
        <v>0.3</v>
      </c>
      <c r="N142" s="21">
        <v>186.95</v>
      </c>
      <c r="O142" s="21">
        <v>0.89</v>
      </c>
      <c r="P142">
        <v>3.96</v>
      </c>
      <c r="Q142">
        <v>1.6400000000000001</v>
      </c>
      <c r="R142">
        <v>27.083333333333332</v>
      </c>
    </row>
    <row r="143" spans="1:18" x14ac:dyDescent="0.25">
      <c r="A143">
        <v>4</v>
      </c>
      <c r="B143" t="s">
        <v>10</v>
      </c>
      <c r="C143" t="s">
        <v>84</v>
      </c>
      <c r="D143">
        <v>3</v>
      </c>
      <c r="E143" s="1">
        <v>27.083333333333332</v>
      </c>
      <c r="F143" s="1">
        <f t="shared" si="4"/>
        <v>31.360193632010947</v>
      </c>
      <c r="G143">
        <v>1.47</v>
      </c>
      <c r="H143">
        <v>126.2</v>
      </c>
      <c r="I143">
        <v>0</v>
      </c>
      <c r="J143" s="2">
        <v>3.84</v>
      </c>
      <c r="K143">
        <v>23.75</v>
      </c>
      <c r="L143" t="s">
        <v>63</v>
      </c>
      <c r="M143" s="21">
        <v>0.36</v>
      </c>
      <c r="N143" s="21">
        <v>176.25</v>
      </c>
      <c r="O143" s="21">
        <v>0.37</v>
      </c>
      <c r="P143">
        <v>4.0350000000000001</v>
      </c>
      <c r="Q143">
        <v>1.7244999999999999</v>
      </c>
      <c r="R143">
        <v>27.083333333333332</v>
      </c>
    </row>
    <row r="144" spans="1:18" x14ac:dyDescent="0.25">
      <c r="A144">
        <v>4</v>
      </c>
      <c r="B144" t="s">
        <v>11</v>
      </c>
      <c r="C144" t="s">
        <v>85</v>
      </c>
      <c r="D144">
        <v>1</v>
      </c>
      <c r="E144" s="1">
        <v>29.166666666666668</v>
      </c>
      <c r="F144" s="1">
        <f t="shared" si="4"/>
        <v>32.687840823917959</v>
      </c>
      <c r="G144">
        <v>3.1</v>
      </c>
      <c r="H144">
        <v>108</v>
      </c>
      <c r="I144">
        <v>2.42</v>
      </c>
      <c r="J144" s="2">
        <v>3.59</v>
      </c>
      <c r="K144">
        <v>23.75</v>
      </c>
      <c r="L144" t="s">
        <v>63</v>
      </c>
      <c r="M144" s="21">
        <v>0.39</v>
      </c>
      <c r="N144" s="21">
        <v>202.95</v>
      </c>
      <c r="O144" s="21">
        <v>0.64</v>
      </c>
      <c r="P144">
        <v>3.96</v>
      </c>
      <c r="Q144">
        <v>1.6324999999999998</v>
      </c>
      <c r="R144">
        <v>29.166666666666668</v>
      </c>
    </row>
    <row r="145" spans="1:18" x14ac:dyDescent="0.25">
      <c r="A145">
        <v>4</v>
      </c>
      <c r="B145" t="s">
        <v>11</v>
      </c>
      <c r="C145" t="s">
        <v>85</v>
      </c>
      <c r="D145">
        <v>2</v>
      </c>
      <c r="E145" s="1">
        <v>27.083333333333332</v>
      </c>
      <c r="F145" s="1">
        <f t="shared" si="4"/>
        <v>31.360193632010947</v>
      </c>
      <c r="G145">
        <v>2.9</v>
      </c>
      <c r="H145">
        <v>115.4</v>
      </c>
      <c r="I145">
        <v>2.41</v>
      </c>
      <c r="J145" s="2">
        <v>3.68</v>
      </c>
      <c r="K145">
        <v>23.75</v>
      </c>
      <c r="L145" t="s">
        <v>63</v>
      </c>
      <c r="M145" s="21">
        <v>0.3</v>
      </c>
      <c r="N145" s="21">
        <v>186.95</v>
      </c>
      <c r="O145" s="21">
        <v>0.89</v>
      </c>
      <c r="P145">
        <v>3.96</v>
      </c>
      <c r="Q145">
        <v>1.6400000000000001</v>
      </c>
      <c r="R145">
        <v>27.083333333333332</v>
      </c>
    </row>
    <row r="146" spans="1:18" x14ac:dyDescent="0.25">
      <c r="A146">
        <v>4</v>
      </c>
      <c r="B146" t="s">
        <v>11</v>
      </c>
      <c r="C146" t="s">
        <v>85</v>
      </c>
      <c r="D146">
        <v>3</v>
      </c>
      <c r="E146" s="1">
        <v>37.5</v>
      </c>
      <c r="F146" s="1">
        <f t="shared" si="4"/>
        <v>37.761243907035038</v>
      </c>
      <c r="G146">
        <v>3.15</v>
      </c>
      <c r="H146">
        <v>145.80000000000001</v>
      </c>
      <c r="I146">
        <v>2.8</v>
      </c>
      <c r="J146" s="2">
        <v>3.63</v>
      </c>
      <c r="K146">
        <v>23.75</v>
      </c>
      <c r="L146" t="s">
        <v>63</v>
      </c>
      <c r="M146" s="21">
        <v>0.36</v>
      </c>
      <c r="N146" s="21">
        <v>176.25</v>
      </c>
      <c r="O146" s="21">
        <v>0.37</v>
      </c>
      <c r="P146">
        <v>4.0350000000000001</v>
      </c>
      <c r="Q146">
        <v>1.7244999999999999</v>
      </c>
      <c r="R146">
        <v>37.5</v>
      </c>
    </row>
    <row r="147" spans="1:18" x14ac:dyDescent="0.25">
      <c r="A147">
        <v>4</v>
      </c>
      <c r="B147" t="s">
        <v>12</v>
      </c>
      <c r="C147" t="s">
        <v>86</v>
      </c>
      <c r="D147">
        <v>1</v>
      </c>
      <c r="E147" s="1">
        <v>16.666666666666664</v>
      </c>
      <c r="F147" s="1">
        <f t="shared" si="4"/>
        <v>24.094842552110698</v>
      </c>
      <c r="G147">
        <v>0.63</v>
      </c>
      <c r="H147">
        <v>149.5</v>
      </c>
      <c r="I147">
        <v>4.29</v>
      </c>
      <c r="J147" s="2">
        <v>4.0599999999999996</v>
      </c>
      <c r="K147">
        <v>23.75</v>
      </c>
      <c r="L147" t="s">
        <v>63</v>
      </c>
      <c r="M147" s="21">
        <v>0.39</v>
      </c>
      <c r="N147" s="21">
        <v>202.95</v>
      </c>
      <c r="O147" s="21">
        <v>0.64</v>
      </c>
      <c r="P147">
        <v>3.96</v>
      </c>
      <c r="Q147">
        <v>1.6324999999999998</v>
      </c>
      <c r="R147">
        <v>16.666666666666664</v>
      </c>
    </row>
    <row r="148" spans="1:18" x14ac:dyDescent="0.25">
      <c r="A148">
        <v>4</v>
      </c>
      <c r="B148" t="s">
        <v>12</v>
      </c>
      <c r="C148" t="s">
        <v>86</v>
      </c>
      <c r="D148">
        <v>2</v>
      </c>
      <c r="E148" s="1">
        <v>10.416666666666668</v>
      </c>
      <c r="F148" s="1">
        <f t="shared" si="4"/>
        <v>18.829231003103928</v>
      </c>
      <c r="G148">
        <v>0.64</v>
      </c>
      <c r="H148">
        <v>148.80000000000001</v>
      </c>
      <c r="I148">
        <v>4.16</v>
      </c>
      <c r="J148" s="2">
        <v>3.93</v>
      </c>
      <c r="K148">
        <v>23.75</v>
      </c>
      <c r="L148" t="s">
        <v>63</v>
      </c>
      <c r="M148" s="21">
        <v>0.3</v>
      </c>
      <c r="N148" s="21">
        <v>186.95</v>
      </c>
      <c r="O148" s="21">
        <v>0.89</v>
      </c>
      <c r="P148">
        <v>3.96</v>
      </c>
      <c r="Q148">
        <v>1.6400000000000001</v>
      </c>
      <c r="R148">
        <v>10.416666666666668</v>
      </c>
    </row>
    <row r="149" spans="1:18" x14ac:dyDescent="0.25">
      <c r="A149">
        <v>4</v>
      </c>
      <c r="B149" t="s">
        <v>12</v>
      </c>
      <c r="C149" t="s">
        <v>86</v>
      </c>
      <c r="D149">
        <v>3</v>
      </c>
      <c r="E149" s="1">
        <v>29.166666666666668</v>
      </c>
      <c r="F149" s="1">
        <f t="shared" si="4"/>
        <v>32.687840823917959</v>
      </c>
      <c r="G149">
        <v>0.71</v>
      </c>
      <c r="H149">
        <v>139.80000000000001</v>
      </c>
      <c r="I149">
        <v>5.12</v>
      </c>
      <c r="J149" s="2">
        <v>4.18</v>
      </c>
      <c r="K149">
        <v>23.75</v>
      </c>
      <c r="L149" t="s">
        <v>63</v>
      </c>
      <c r="M149" s="21">
        <v>0.36</v>
      </c>
      <c r="N149" s="21">
        <v>176.25</v>
      </c>
      <c r="O149" s="21">
        <v>0.37</v>
      </c>
      <c r="P149">
        <v>4.0350000000000001</v>
      </c>
      <c r="Q149">
        <v>1.7244999999999999</v>
      </c>
      <c r="R149">
        <v>29.166666666666668</v>
      </c>
    </row>
    <row r="150" spans="1:18" x14ac:dyDescent="0.25">
      <c r="A150">
        <v>4</v>
      </c>
      <c r="B150" t="s">
        <v>13</v>
      </c>
      <c r="C150" t="s">
        <v>87</v>
      </c>
      <c r="D150">
        <v>1</v>
      </c>
      <c r="E150" s="1">
        <v>20.833333333333336</v>
      </c>
      <c r="F150" s="1">
        <f t="shared" si="4"/>
        <v>27.157332643673978</v>
      </c>
      <c r="G150">
        <v>0.47</v>
      </c>
      <c r="H150">
        <v>141.9</v>
      </c>
      <c r="I150">
        <v>1.2</v>
      </c>
      <c r="J150" s="2">
        <v>4.04</v>
      </c>
      <c r="K150">
        <v>23.75</v>
      </c>
      <c r="L150" t="s">
        <v>63</v>
      </c>
      <c r="M150" s="21">
        <v>0.39</v>
      </c>
      <c r="N150" s="21">
        <v>202.95</v>
      </c>
      <c r="O150" s="21">
        <v>0.64</v>
      </c>
      <c r="P150">
        <v>3.96</v>
      </c>
      <c r="Q150">
        <v>1.6324999999999998</v>
      </c>
      <c r="R150">
        <v>20.833333333333336</v>
      </c>
    </row>
    <row r="151" spans="1:18" x14ac:dyDescent="0.25">
      <c r="A151">
        <v>4</v>
      </c>
      <c r="B151" t="s">
        <v>13</v>
      </c>
      <c r="C151" t="s">
        <v>87</v>
      </c>
      <c r="D151">
        <v>2</v>
      </c>
      <c r="E151" s="1">
        <v>29.166666666666668</v>
      </c>
      <c r="F151" s="1">
        <f t="shared" si="4"/>
        <v>32.687840823917959</v>
      </c>
      <c r="G151">
        <v>0.8</v>
      </c>
      <c r="H151">
        <v>109.6</v>
      </c>
      <c r="I151">
        <v>2.16</v>
      </c>
      <c r="J151" s="2">
        <v>3.87</v>
      </c>
      <c r="K151">
        <v>23.75</v>
      </c>
      <c r="L151" t="s">
        <v>63</v>
      </c>
      <c r="M151" s="21">
        <v>0.3</v>
      </c>
      <c r="N151" s="21">
        <v>186.95</v>
      </c>
      <c r="O151" s="21">
        <v>0.89</v>
      </c>
      <c r="P151">
        <v>3.96</v>
      </c>
      <c r="Q151">
        <v>1.6400000000000001</v>
      </c>
      <c r="R151">
        <v>29.166666666666668</v>
      </c>
    </row>
    <row r="152" spans="1:18" x14ac:dyDescent="0.25">
      <c r="A152">
        <v>4</v>
      </c>
      <c r="B152" t="s">
        <v>13</v>
      </c>
      <c r="C152" t="s">
        <v>87</v>
      </c>
      <c r="D152">
        <v>3</v>
      </c>
      <c r="E152" s="1">
        <v>25</v>
      </c>
      <c r="F152" s="1">
        <f t="shared" si="4"/>
        <v>30.000000000000004</v>
      </c>
      <c r="G152">
        <v>0.6</v>
      </c>
      <c r="H152">
        <v>155.30000000000001</v>
      </c>
      <c r="I152">
        <v>2.12</v>
      </c>
      <c r="J152" s="2">
        <v>3.94</v>
      </c>
      <c r="K152">
        <v>23.75</v>
      </c>
      <c r="L152" t="s">
        <v>63</v>
      </c>
      <c r="M152" s="21">
        <v>0.36</v>
      </c>
      <c r="N152" s="21">
        <v>176.25</v>
      </c>
      <c r="O152" s="21">
        <v>0.37</v>
      </c>
      <c r="P152">
        <v>4.0350000000000001</v>
      </c>
      <c r="Q152">
        <v>1.7244999999999999</v>
      </c>
      <c r="R152">
        <v>25</v>
      </c>
    </row>
    <row r="153" spans="1:18" x14ac:dyDescent="0.25">
      <c r="A153">
        <v>4</v>
      </c>
      <c r="B153" t="s">
        <v>14</v>
      </c>
      <c r="C153" t="s">
        <v>88</v>
      </c>
      <c r="D153">
        <v>1</v>
      </c>
      <c r="E153" s="1">
        <v>12.5</v>
      </c>
      <c r="F153" s="1">
        <f t="shared" si="4"/>
        <v>20.704811054635432</v>
      </c>
      <c r="G153">
        <v>0.95</v>
      </c>
      <c r="H153">
        <v>171.9</v>
      </c>
      <c r="I153">
        <v>0</v>
      </c>
      <c r="J153" s="2">
        <v>3.86</v>
      </c>
      <c r="K153">
        <v>23.75</v>
      </c>
      <c r="L153" t="s">
        <v>63</v>
      </c>
      <c r="M153" s="21">
        <v>0.39</v>
      </c>
      <c r="N153" s="21">
        <v>202.95</v>
      </c>
      <c r="O153" s="21">
        <v>0.64</v>
      </c>
      <c r="P153">
        <v>3.96</v>
      </c>
      <c r="Q153">
        <v>1.6324999999999998</v>
      </c>
      <c r="R153">
        <v>12.5</v>
      </c>
    </row>
    <row r="154" spans="1:18" x14ac:dyDescent="0.25">
      <c r="A154">
        <v>4</v>
      </c>
      <c r="B154" t="s">
        <v>14</v>
      </c>
      <c r="C154" t="s">
        <v>88</v>
      </c>
      <c r="D154">
        <v>2</v>
      </c>
      <c r="E154" s="1">
        <v>20.833333333333336</v>
      </c>
      <c r="F154" s="1">
        <f t="shared" si="4"/>
        <v>27.157332643673978</v>
      </c>
      <c r="G154">
        <v>0.54</v>
      </c>
      <c r="H154">
        <v>153.30000000000001</v>
      </c>
      <c r="I154">
        <v>0</v>
      </c>
      <c r="J154" s="2">
        <v>3.91</v>
      </c>
      <c r="K154">
        <v>23.75</v>
      </c>
      <c r="L154" t="s">
        <v>63</v>
      </c>
      <c r="M154" s="21">
        <v>0.3</v>
      </c>
      <c r="N154" s="21">
        <v>186.95</v>
      </c>
      <c r="O154" s="21">
        <v>0.89</v>
      </c>
      <c r="P154">
        <v>3.96</v>
      </c>
      <c r="Q154">
        <v>1.6400000000000001</v>
      </c>
      <c r="R154">
        <v>20.833333333333336</v>
      </c>
    </row>
    <row r="155" spans="1:18" x14ac:dyDescent="0.25">
      <c r="A155">
        <v>4</v>
      </c>
      <c r="B155" t="s">
        <v>14</v>
      </c>
      <c r="C155" t="s">
        <v>88</v>
      </c>
      <c r="D155">
        <v>3</v>
      </c>
      <c r="E155" s="1">
        <v>14.5833333333333</v>
      </c>
      <c r="F155" s="1">
        <f t="shared" si="4"/>
        <v>22.450263980344459</v>
      </c>
      <c r="G155">
        <v>0.34</v>
      </c>
      <c r="H155">
        <v>188.1</v>
      </c>
      <c r="I155">
        <v>0</v>
      </c>
      <c r="J155" s="2">
        <v>3.89</v>
      </c>
      <c r="K155">
        <v>23.75</v>
      </c>
      <c r="L155" t="s">
        <v>63</v>
      </c>
      <c r="M155" s="21">
        <v>0.36</v>
      </c>
      <c r="N155" s="21">
        <v>176.25</v>
      </c>
      <c r="O155" s="21">
        <v>0.37</v>
      </c>
      <c r="P155">
        <v>4.0350000000000001</v>
      </c>
      <c r="Q155">
        <v>1.7244999999999999</v>
      </c>
      <c r="R155">
        <v>14.5833333333333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activeCell="K21" sqref="K21"/>
    </sheetView>
  </sheetViews>
  <sheetFormatPr defaultRowHeight="15" x14ac:dyDescent="0.25"/>
  <cols>
    <col min="1" max="1" width="13.42578125" bestFit="1" customWidth="1"/>
  </cols>
  <sheetData>
    <row r="1" spans="1:5" x14ac:dyDescent="0.25">
      <c r="A1" s="19" t="s">
        <v>1</v>
      </c>
      <c r="B1" s="19" t="s">
        <v>0</v>
      </c>
      <c r="C1" s="19" t="s">
        <v>46</v>
      </c>
      <c r="D1" s="19" t="s">
        <v>47</v>
      </c>
      <c r="E1" s="19" t="s">
        <v>48</v>
      </c>
    </row>
    <row r="2" spans="1:5" x14ac:dyDescent="0.25">
      <c r="A2" t="s">
        <v>4</v>
      </c>
      <c r="B2" t="s">
        <v>49</v>
      </c>
      <c r="C2">
        <v>11.00214126327255</v>
      </c>
      <c r="D2">
        <v>3.5277286639598771</v>
      </c>
      <c r="E2" t="s">
        <v>50</v>
      </c>
    </row>
    <row r="3" spans="1:5" x14ac:dyDescent="0.25">
      <c r="A3" t="s">
        <v>4</v>
      </c>
      <c r="B3" t="s">
        <v>51</v>
      </c>
      <c r="C3">
        <v>27.484045998681029</v>
      </c>
      <c r="D3">
        <v>3.4559263161395188</v>
      </c>
      <c r="E3" t="s">
        <v>52</v>
      </c>
    </row>
    <row r="4" spans="1:5" x14ac:dyDescent="0.25">
      <c r="A4" t="s">
        <v>4</v>
      </c>
      <c r="B4" t="s">
        <v>53</v>
      </c>
      <c r="C4">
        <v>39.645884005510069</v>
      </c>
      <c r="D4">
        <v>3.837345879651926</v>
      </c>
      <c r="E4" t="s">
        <v>54</v>
      </c>
    </row>
    <row r="5" spans="1:5" x14ac:dyDescent="0.25">
      <c r="A5" t="s">
        <v>4</v>
      </c>
      <c r="B5" t="s">
        <v>55</v>
      </c>
      <c r="C5">
        <v>42.563506884896761</v>
      </c>
      <c r="D5">
        <v>3.9949692267783119</v>
      </c>
      <c r="E5" t="s">
        <v>56</v>
      </c>
    </row>
    <row r="6" spans="1:5" x14ac:dyDescent="0.25">
      <c r="A6" t="s">
        <v>5</v>
      </c>
      <c r="B6" t="s">
        <v>49</v>
      </c>
      <c r="C6">
        <v>42.674718478055887</v>
      </c>
      <c r="D6">
        <v>3.4739217045599</v>
      </c>
      <c r="E6" t="s">
        <v>50</v>
      </c>
    </row>
    <row r="7" spans="1:5" x14ac:dyDescent="0.25">
      <c r="A7" t="s">
        <v>5</v>
      </c>
      <c r="B7" t="s">
        <v>51</v>
      </c>
      <c r="C7">
        <v>46.311045046598608</v>
      </c>
      <c r="D7">
        <v>4.2622318590789687</v>
      </c>
      <c r="E7" t="s">
        <v>50</v>
      </c>
    </row>
    <row r="8" spans="1:5" x14ac:dyDescent="0.25">
      <c r="A8" t="s">
        <v>5</v>
      </c>
      <c r="B8" t="s">
        <v>53</v>
      </c>
      <c r="C8">
        <v>34.72906390181906</v>
      </c>
      <c r="D8">
        <v>3.7307690384580798</v>
      </c>
      <c r="E8" t="s">
        <v>50</v>
      </c>
    </row>
    <row r="9" spans="1:5" x14ac:dyDescent="0.25">
      <c r="A9" t="s">
        <v>5</v>
      </c>
      <c r="B9" t="s">
        <v>55</v>
      </c>
      <c r="C9">
        <v>14.77948408100916</v>
      </c>
      <c r="D9">
        <v>4.1195694968226224</v>
      </c>
      <c r="E9" t="s">
        <v>57</v>
      </c>
    </row>
    <row r="10" spans="1:5" x14ac:dyDescent="0.25">
      <c r="A10" t="s">
        <v>17</v>
      </c>
      <c r="B10" t="s">
        <v>49</v>
      </c>
      <c r="C10">
        <v>45.155033976048799</v>
      </c>
      <c r="D10">
        <v>3.4044510553131841</v>
      </c>
      <c r="E10" t="s">
        <v>50</v>
      </c>
    </row>
    <row r="11" spans="1:5" x14ac:dyDescent="0.25">
      <c r="A11" t="s">
        <v>17</v>
      </c>
      <c r="B11" t="s">
        <v>51</v>
      </c>
      <c r="C11">
        <v>49.309898531593213</v>
      </c>
      <c r="D11">
        <v>3.3086514397323432</v>
      </c>
      <c r="E11" t="s">
        <v>50</v>
      </c>
    </row>
    <row r="12" spans="1:5" x14ac:dyDescent="0.25">
      <c r="A12" t="s">
        <v>17</v>
      </c>
      <c r="B12" t="s">
        <v>53</v>
      </c>
      <c r="C12">
        <v>38.484118006538218</v>
      </c>
      <c r="D12">
        <v>3.7229166513241729</v>
      </c>
      <c r="E12" t="s">
        <v>50</v>
      </c>
    </row>
    <row r="13" spans="1:5" x14ac:dyDescent="0.25">
      <c r="A13" t="s">
        <v>17</v>
      </c>
      <c r="B13" t="s">
        <v>55</v>
      </c>
      <c r="C13">
        <v>42.02604022098285</v>
      </c>
      <c r="D13">
        <v>4.6674531229753953</v>
      </c>
      <c r="E13" t="s">
        <v>50</v>
      </c>
    </row>
    <row r="14" spans="1:5" x14ac:dyDescent="0.25">
      <c r="A14" t="s">
        <v>6</v>
      </c>
      <c r="B14" t="s">
        <v>49</v>
      </c>
      <c r="C14">
        <v>20.47408246388359</v>
      </c>
      <c r="D14">
        <v>3.5756493533615941</v>
      </c>
      <c r="E14" t="s">
        <v>50</v>
      </c>
    </row>
    <row r="15" spans="1:5" x14ac:dyDescent="0.25">
      <c r="A15" t="s">
        <v>6</v>
      </c>
      <c r="B15" t="s">
        <v>51</v>
      </c>
      <c r="C15">
        <v>39.321207962395043</v>
      </c>
      <c r="D15">
        <v>3.1438454180431221</v>
      </c>
      <c r="E15" t="s">
        <v>52</v>
      </c>
    </row>
    <row r="16" spans="1:5" x14ac:dyDescent="0.25">
      <c r="A16" t="s">
        <v>6</v>
      </c>
      <c r="B16" t="s">
        <v>53</v>
      </c>
      <c r="C16">
        <v>42.849533520486389</v>
      </c>
      <c r="D16">
        <v>4.5521283811118067</v>
      </c>
      <c r="E16" t="s">
        <v>52</v>
      </c>
    </row>
    <row r="17" spans="1:5" x14ac:dyDescent="0.25">
      <c r="A17" t="s">
        <v>6</v>
      </c>
      <c r="B17" t="s">
        <v>55</v>
      </c>
      <c r="C17">
        <v>41.845387985211957</v>
      </c>
      <c r="D17">
        <v>6.8650016613883276</v>
      </c>
      <c r="E17" t="s">
        <v>52</v>
      </c>
    </row>
    <row r="18" spans="1:5" x14ac:dyDescent="0.25">
      <c r="A18" t="s">
        <v>7</v>
      </c>
      <c r="B18" t="s">
        <v>49</v>
      </c>
      <c r="C18">
        <v>33.309093693359863</v>
      </c>
      <c r="D18">
        <v>3.1116752877195268</v>
      </c>
      <c r="E18" t="s">
        <v>50</v>
      </c>
    </row>
    <row r="19" spans="1:5" x14ac:dyDescent="0.25">
      <c r="A19" t="s">
        <v>7</v>
      </c>
      <c r="B19" t="s">
        <v>51</v>
      </c>
      <c r="C19">
        <v>48.075841721805801</v>
      </c>
      <c r="D19">
        <v>4.0935229730883256</v>
      </c>
      <c r="E19" t="s">
        <v>52</v>
      </c>
    </row>
    <row r="20" spans="1:5" x14ac:dyDescent="0.25">
      <c r="A20" t="s">
        <v>7</v>
      </c>
      <c r="B20" t="s">
        <v>53</v>
      </c>
      <c r="C20">
        <v>36.72837762368674</v>
      </c>
      <c r="D20">
        <v>3.6874836376051112</v>
      </c>
      <c r="E20" t="s">
        <v>52</v>
      </c>
    </row>
    <row r="21" spans="1:5" x14ac:dyDescent="0.25">
      <c r="A21" t="s">
        <v>7</v>
      </c>
      <c r="B21" t="s">
        <v>55</v>
      </c>
      <c r="C21">
        <v>16.17261274716591</v>
      </c>
      <c r="D21">
        <v>3.9566418810695669</v>
      </c>
      <c r="E21" t="s">
        <v>56</v>
      </c>
    </row>
    <row r="22" spans="1:5" x14ac:dyDescent="0.25">
      <c r="A22" t="s">
        <v>9</v>
      </c>
      <c r="B22" t="s">
        <v>49</v>
      </c>
      <c r="C22">
        <v>10.54887541299497</v>
      </c>
      <c r="D22">
        <v>3.478005394873362</v>
      </c>
      <c r="E22" t="s">
        <v>50</v>
      </c>
    </row>
    <row r="23" spans="1:5" x14ac:dyDescent="0.25">
      <c r="A23" t="s">
        <v>9</v>
      </c>
      <c r="B23" t="s">
        <v>51</v>
      </c>
      <c r="C23">
        <v>22.910100868356981</v>
      </c>
      <c r="D23">
        <v>3.487105948411624</v>
      </c>
      <c r="E23" t="s">
        <v>52</v>
      </c>
    </row>
    <row r="24" spans="1:5" x14ac:dyDescent="0.25">
      <c r="A24" t="s">
        <v>9</v>
      </c>
      <c r="B24" t="s">
        <v>53</v>
      </c>
      <c r="C24">
        <v>39.985023076054453</v>
      </c>
      <c r="D24">
        <v>3.67993175761243</v>
      </c>
      <c r="E24" t="s">
        <v>54</v>
      </c>
    </row>
    <row r="25" spans="1:5" x14ac:dyDescent="0.25">
      <c r="A25" t="s">
        <v>9</v>
      </c>
      <c r="B25" t="s">
        <v>55</v>
      </c>
      <c r="C25">
        <v>44.972458748354448</v>
      </c>
      <c r="D25">
        <v>3.9811088477457051</v>
      </c>
      <c r="E25" t="s">
        <v>56</v>
      </c>
    </row>
    <row r="26" spans="1:5" x14ac:dyDescent="0.25">
      <c r="A26" t="s">
        <v>10</v>
      </c>
      <c r="B26" t="s">
        <v>49</v>
      </c>
      <c r="C26">
        <v>16.391995065757708</v>
      </c>
      <c r="D26">
        <v>3.5654619602617581</v>
      </c>
      <c r="E26" t="s">
        <v>50</v>
      </c>
    </row>
    <row r="27" spans="1:5" x14ac:dyDescent="0.25">
      <c r="A27" t="s">
        <v>10</v>
      </c>
      <c r="B27" t="s">
        <v>51</v>
      </c>
      <c r="C27">
        <v>28.876248414871419</v>
      </c>
      <c r="D27">
        <v>3.4094326469723151</v>
      </c>
      <c r="E27" t="s">
        <v>52</v>
      </c>
    </row>
    <row r="28" spans="1:5" x14ac:dyDescent="0.25">
      <c r="A28" t="s">
        <v>10</v>
      </c>
      <c r="B28" t="s">
        <v>53</v>
      </c>
      <c r="C28">
        <v>40.491031246510438</v>
      </c>
      <c r="D28">
        <v>3.611421682923134</v>
      </c>
      <c r="E28" t="s">
        <v>54</v>
      </c>
    </row>
    <row r="29" spans="1:5" x14ac:dyDescent="0.25">
      <c r="A29" t="s">
        <v>10</v>
      </c>
      <c r="B29" t="s">
        <v>55</v>
      </c>
      <c r="C29">
        <v>50.55374376819384</v>
      </c>
      <c r="D29">
        <v>4.1467143043839627</v>
      </c>
      <c r="E29" t="s">
        <v>56</v>
      </c>
    </row>
    <row r="30" spans="1:5" x14ac:dyDescent="0.25">
      <c r="A30" t="s">
        <v>11</v>
      </c>
      <c r="B30" t="s">
        <v>49</v>
      </c>
      <c r="C30">
        <v>36.548588454529117</v>
      </c>
      <c r="D30">
        <v>3.368551602326133</v>
      </c>
      <c r="E30" t="s">
        <v>50</v>
      </c>
    </row>
    <row r="31" spans="1:5" x14ac:dyDescent="0.25">
      <c r="A31" t="s">
        <v>11</v>
      </c>
      <c r="B31" t="s">
        <v>51</v>
      </c>
      <c r="C31">
        <v>49.769679318309223</v>
      </c>
      <c r="D31">
        <v>3.2255258746131719</v>
      </c>
      <c r="E31" t="s">
        <v>52</v>
      </c>
    </row>
    <row r="32" spans="1:5" x14ac:dyDescent="0.25">
      <c r="A32" t="s">
        <v>11</v>
      </c>
      <c r="B32" t="s">
        <v>53</v>
      </c>
      <c r="C32">
        <v>33.485752275528689</v>
      </c>
      <c r="D32">
        <v>7.0767972139374562</v>
      </c>
      <c r="E32" t="s">
        <v>52</v>
      </c>
    </row>
    <row r="33" spans="1:5" x14ac:dyDescent="0.25">
      <c r="A33" t="s">
        <v>11</v>
      </c>
      <c r="B33" t="s">
        <v>55</v>
      </c>
      <c r="C33">
        <v>34.20214628772235</v>
      </c>
      <c r="D33">
        <v>6.9276611535808303</v>
      </c>
      <c r="E33" t="s">
        <v>52</v>
      </c>
    </row>
    <row r="34" spans="1:5" x14ac:dyDescent="0.25">
      <c r="A34" t="s">
        <v>12</v>
      </c>
      <c r="B34" t="s">
        <v>49</v>
      </c>
      <c r="C34">
        <v>44.385482033777862</v>
      </c>
      <c r="D34">
        <v>3.4362305508429039</v>
      </c>
      <c r="E34" t="s">
        <v>50</v>
      </c>
    </row>
    <row r="35" spans="1:5" x14ac:dyDescent="0.25">
      <c r="A35" t="s">
        <v>12</v>
      </c>
      <c r="B35" t="s">
        <v>51</v>
      </c>
      <c r="C35">
        <v>53.04434637182429</v>
      </c>
      <c r="D35">
        <v>4.7942367753464454</v>
      </c>
      <c r="E35" t="s">
        <v>50</v>
      </c>
    </row>
    <row r="36" spans="1:5" x14ac:dyDescent="0.25">
      <c r="A36" t="s">
        <v>12</v>
      </c>
      <c r="B36" t="s">
        <v>53</v>
      </c>
      <c r="C36">
        <v>40.0326703881463</v>
      </c>
      <c r="D36">
        <v>3.825531002796827</v>
      </c>
      <c r="E36" t="s">
        <v>50</v>
      </c>
    </row>
    <row r="37" spans="1:5" x14ac:dyDescent="0.25">
      <c r="A37" t="s">
        <v>12</v>
      </c>
      <c r="B37" t="s">
        <v>55</v>
      </c>
      <c r="C37">
        <v>38.866723803861589</v>
      </c>
      <c r="D37">
        <v>8.6034857739938015</v>
      </c>
      <c r="E37" t="s">
        <v>50</v>
      </c>
    </row>
    <row r="38" spans="1:5" x14ac:dyDescent="0.25">
      <c r="A38" t="s">
        <v>13</v>
      </c>
      <c r="B38" t="s">
        <v>49</v>
      </c>
      <c r="C38">
        <v>37.513617497415957</v>
      </c>
      <c r="D38">
        <v>3.3590550601328828</v>
      </c>
      <c r="E38" t="s">
        <v>50</v>
      </c>
    </row>
    <row r="39" spans="1:5" x14ac:dyDescent="0.25">
      <c r="A39" t="s">
        <v>13</v>
      </c>
      <c r="B39" t="s">
        <v>51</v>
      </c>
      <c r="C39">
        <v>34.228615454424919</v>
      </c>
      <c r="D39">
        <v>3.273709136834229</v>
      </c>
      <c r="E39" t="s">
        <v>50</v>
      </c>
    </row>
    <row r="40" spans="1:5" x14ac:dyDescent="0.25">
      <c r="A40" t="s">
        <v>13</v>
      </c>
      <c r="B40" t="s">
        <v>53</v>
      </c>
      <c r="C40">
        <v>42.135106752188342</v>
      </c>
      <c r="D40">
        <v>3.714054097927157</v>
      </c>
      <c r="E40" t="s">
        <v>50</v>
      </c>
    </row>
    <row r="41" spans="1:5" x14ac:dyDescent="0.25">
      <c r="A41" t="s">
        <v>13</v>
      </c>
      <c r="B41" t="s">
        <v>55</v>
      </c>
      <c r="C41">
        <v>44.932655363031323</v>
      </c>
      <c r="D41">
        <v>4.3975658915568614</v>
      </c>
      <c r="E41" t="s">
        <v>50</v>
      </c>
    </row>
    <row r="42" spans="1:5" x14ac:dyDescent="0.25">
      <c r="A42" t="s">
        <v>14</v>
      </c>
      <c r="B42" t="s">
        <v>49</v>
      </c>
      <c r="C42">
        <v>22.96927716544992</v>
      </c>
      <c r="D42">
        <v>3.4877631690865658</v>
      </c>
      <c r="E42" t="s">
        <v>50</v>
      </c>
    </row>
    <row r="43" spans="1:5" x14ac:dyDescent="0.25">
      <c r="A43" t="s">
        <v>14</v>
      </c>
      <c r="B43" t="s">
        <v>51</v>
      </c>
      <c r="C43">
        <v>33.222829597437219</v>
      </c>
      <c r="D43">
        <v>3.3512815702855669</v>
      </c>
      <c r="E43" t="s">
        <v>50</v>
      </c>
    </row>
    <row r="44" spans="1:5" x14ac:dyDescent="0.25">
      <c r="A44" t="s">
        <v>14</v>
      </c>
      <c r="B44" t="s">
        <v>53</v>
      </c>
      <c r="C44">
        <v>29.735399116120199</v>
      </c>
      <c r="D44">
        <v>3.909652042333418</v>
      </c>
      <c r="E44" t="s">
        <v>50</v>
      </c>
    </row>
    <row r="45" spans="1:5" x14ac:dyDescent="0.25">
      <c r="A45" t="s">
        <v>14</v>
      </c>
      <c r="B45" t="s">
        <v>55</v>
      </c>
      <c r="C45">
        <v>48.786000257994147</v>
      </c>
      <c r="D45">
        <v>3.8091579532394468</v>
      </c>
      <c r="E4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D1" zoomScale="102" workbookViewId="0">
      <selection activeCell="K16" sqref="K16"/>
    </sheetView>
  </sheetViews>
  <sheetFormatPr defaultRowHeight="15" x14ac:dyDescent="0.25"/>
  <cols>
    <col min="1" max="1" width="8.85546875" style="6"/>
    <col min="2" max="2" width="22.5703125" style="6" bestFit="1" customWidth="1"/>
    <col min="3" max="5" width="8.85546875" style="6"/>
    <col min="6" max="6" width="11.5703125" style="6" bestFit="1" customWidth="1"/>
    <col min="9" max="9" width="17.85546875" bestFit="1" customWidth="1"/>
    <col min="13" max="13" width="17.85546875" bestFit="1" customWidth="1"/>
    <col min="15" max="15" width="17.28515625" bestFit="1" customWidth="1"/>
  </cols>
  <sheetData>
    <row r="1" spans="1:18" x14ac:dyDescent="0.25">
      <c r="A1" s="6" t="s">
        <v>0</v>
      </c>
      <c r="B1" s="6" t="s">
        <v>1</v>
      </c>
      <c r="C1" s="6" t="s">
        <v>27</v>
      </c>
      <c r="D1" s="6" t="s">
        <v>28</v>
      </c>
      <c r="E1" s="6" t="s">
        <v>29</v>
      </c>
      <c r="F1" s="6" t="s">
        <v>35</v>
      </c>
      <c r="G1" s="6" t="s">
        <v>30</v>
      </c>
      <c r="H1" s="6" t="s">
        <v>76</v>
      </c>
    </row>
    <row r="2" spans="1:18" s="3" customFormat="1" x14ac:dyDescent="0.25">
      <c r="A2" s="6">
        <v>1</v>
      </c>
      <c r="B2" s="6" t="s">
        <v>44</v>
      </c>
      <c r="C2" s="6">
        <v>0.05</v>
      </c>
      <c r="D2" s="6">
        <v>19.600000000000001</v>
      </c>
      <c r="E2" s="6">
        <v>0.15</v>
      </c>
      <c r="F2" s="6">
        <v>25</v>
      </c>
      <c r="G2" s="4">
        <v>4.6159999999999997</v>
      </c>
      <c r="H2">
        <v>0.69</v>
      </c>
    </row>
    <row r="3" spans="1:18" s="3" customFormat="1" x14ac:dyDescent="0.25">
      <c r="A3" s="6">
        <v>1</v>
      </c>
      <c r="B3" s="6" t="s">
        <v>44</v>
      </c>
      <c r="C3" s="6">
        <v>0.05</v>
      </c>
      <c r="D3" s="6">
        <v>20.2</v>
      </c>
      <c r="E3" s="6">
        <v>0.03</v>
      </c>
      <c r="F3" s="6">
        <v>25</v>
      </c>
      <c r="G3" s="4">
        <v>4.5499999999999989</v>
      </c>
      <c r="H3">
        <v>0.56999999999999995</v>
      </c>
    </row>
    <row r="4" spans="1:18" s="3" customFormat="1" x14ac:dyDescent="0.25">
      <c r="A4" s="6">
        <v>1</v>
      </c>
      <c r="B4" s="6" t="s">
        <v>45</v>
      </c>
      <c r="C4" s="6">
        <v>0.05</v>
      </c>
      <c r="D4" s="6">
        <v>18.8</v>
      </c>
      <c r="E4" s="6">
        <v>0.04</v>
      </c>
      <c r="F4" s="6">
        <v>25</v>
      </c>
      <c r="G4" s="4">
        <v>4.596000000000001</v>
      </c>
      <c r="H4">
        <v>0.51</v>
      </c>
    </row>
    <row r="5" spans="1:18" s="3" customFormat="1" x14ac:dyDescent="0.25">
      <c r="A5" s="6">
        <v>1</v>
      </c>
      <c r="B5" s="6" t="s">
        <v>45</v>
      </c>
      <c r="C5" s="6">
        <v>0.05</v>
      </c>
      <c r="D5" s="6">
        <v>20.2</v>
      </c>
      <c r="E5" s="6">
        <v>0.04</v>
      </c>
      <c r="F5" s="6">
        <v>25</v>
      </c>
      <c r="G5" s="4">
        <v>4.4700000000000006</v>
      </c>
      <c r="H5">
        <v>0.61</v>
      </c>
    </row>
    <row r="6" spans="1:18" s="3" customFormat="1" ht="15.75" thickBot="1" x14ac:dyDescent="0.3">
      <c r="A6" s="6">
        <v>2</v>
      </c>
      <c r="B6" s="6" t="s">
        <v>44</v>
      </c>
      <c r="C6" s="6">
        <v>0.05</v>
      </c>
      <c r="D6" s="6">
        <v>18</v>
      </c>
      <c r="E6" s="6">
        <v>0.19</v>
      </c>
      <c r="F6" s="6">
        <v>25</v>
      </c>
      <c r="G6" s="4">
        <v>4.6780000000000008</v>
      </c>
      <c r="H6">
        <v>0.56999999999999995</v>
      </c>
    </row>
    <row r="7" spans="1:18" s="3" customFormat="1" x14ac:dyDescent="0.25">
      <c r="A7" s="6">
        <v>2</v>
      </c>
      <c r="B7" s="6" t="s">
        <v>44</v>
      </c>
      <c r="C7" s="6">
        <v>0.05</v>
      </c>
      <c r="D7" s="6">
        <v>17.399999999999999</v>
      </c>
      <c r="E7" s="6">
        <v>0.21</v>
      </c>
      <c r="F7" s="6">
        <v>25</v>
      </c>
      <c r="G7" s="4">
        <v>4.6879999999999997</v>
      </c>
      <c r="H7">
        <v>0.62</v>
      </c>
      <c r="M7" s="7"/>
      <c r="N7" s="8" t="s">
        <v>36</v>
      </c>
      <c r="O7" s="8" t="s">
        <v>37</v>
      </c>
      <c r="P7" s="8" t="s">
        <v>38</v>
      </c>
      <c r="Q7" s="24" t="s">
        <v>30</v>
      </c>
      <c r="R7" s="23" t="s">
        <v>76</v>
      </c>
    </row>
    <row r="8" spans="1:18" x14ac:dyDescent="0.25">
      <c r="A8" s="6">
        <v>2</v>
      </c>
      <c r="B8" s="6" t="s">
        <v>45</v>
      </c>
      <c r="C8" s="6">
        <v>0.05</v>
      </c>
      <c r="D8" s="6">
        <v>14.2</v>
      </c>
      <c r="E8" s="6">
        <v>0.09</v>
      </c>
      <c r="F8" s="6">
        <v>25</v>
      </c>
      <c r="G8" s="4">
        <v>4.9480000000000004</v>
      </c>
      <c r="H8">
        <v>0.85</v>
      </c>
      <c r="M8" s="9" t="s">
        <v>39</v>
      </c>
      <c r="N8" s="10">
        <f>AVERAGE(C2:C5)</f>
        <v>0.05</v>
      </c>
      <c r="O8" s="11">
        <f>AVERAGE(D2:D5)*10</f>
        <v>197</v>
      </c>
      <c r="P8" s="10">
        <f>AVERAGE(E2:E5)</f>
        <v>6.5000000000000002E-2</v>
      </c>
      <c r="Q8" s="10">
        <f>AVERAGE(G2:G5)</f>
        <v>4.5579999999999998</v>
      </c>
      <c r="R8" s="12">
        <f>AVERAGE(H2:H5)</f>
        <v>0.59499999999999997</v>
      </c>
    </row>
    <row r="9" spans="1:18" x14ac:dyDescent="0.25">
      <c r="A9" s="6">
        <v>2</v>
      </c>
      <c r="B9" s="6" t="s">
        <v>45</v>
      </c>
      <c r="C9" s="6">
        <v>0.05</v>
      </c>
      <c r="D9" s="6">
        <v>14.2</v>
      </c>
      <c r="E9" s="6">
        <v>0.15</v>
      </c>
      <c r="F9" s="6">
        <v>25</v>
      </c>
      <c r="G9" s="4">
        <v>4.8439999999999994</v>
      </c>
      <c r="H9">
        <v>0.7</v>
      </c>
      <c r="M9" s="9" t="s">
        <v>40</v>
      </c>
      <c r="N9" s="10">
        <f>AVERAGE(C5:C9)</f>
        <v>0.05</v>
      </c>
      <c r="O9" s="11">
        <f>AVERAGE(D5:D9)*10</f>
        <v>168</v>
      </c>
      <c r="P9" s="10">
        <f>AVERAGE(E5:E9)</f>
        <v>0.13600000000000001</v>
      </c>
      <c r="Q9" s="10">
        <f>AVERAGE(G5:G9)</f>
        <v>4.7256</v>
      </c>
      <c r="R9" s="12">
        <f>AVERAGE(H5:H9)</f>
        <v>0.66999999999999993</v>
      </c>
    </row>
    <row r="10" spans="1:18" x14ac:dyDescent="0.25">
      <c r="A10" s="6">
        <v>3</v>
      </c>
      <c r="B10" s="6" t="s">
        <v>43</v>
      </c>
      <c r="C10" s="6">
        <v>0.37</v>
      </c>
      <c r="D10" s="6">
        <v>228.4</v>
      </c>
      <c r="E10" s="6">
        <v>0</v>
      </c>
      <c r="F10" s="6">
        <v>23.75</v>
      </c>
      <c r="M10" s="13" t="s">
        <v>41</v>
      </c>
      <c r="N10" s="4">
        <f>AVERAGE(C10:C18)</f>
        <v>0.43333333333333335</v>
      </c>
      <c r="O10" s="5">
        <f>AVERAGE(D10:D18)</f>
        <v>211.37777777777782</v>
      </c>
      <c r="P10" s="4">
        <f>AVERAGE(E10:E18)</f>
        <v>5.333333333333333E-2</v>
      </c>
      <c r="Q10" s="4">
        <f>AVERAGE(G10:G18)</f>
        <v>3.4899999999999998</v>
      </c>
      <c r="R10" s="14">
        <f>AVERAGE(H10:H18)</f>
        <v>2.6676666666666669</v>
      </c>
    </row>
    <row r="11" spans="1:18" ht="15.75" thickBot="1" x14ac:dyDescent="0.3">
      <c r="A11" s="6">
        <v>3</v>
      </c>
      <c r="B11" s="6" t="s">
        <v>43</v>
      </c>
      <c r="C11" s="6">
        <v>0.41</v>
      </c>
      <c r="D11" s="6">
        <v>232.8</v>
      </c>
      <c r="E11" s="6">
        <v>0.08</v>
      </c>
      <c r="F11" s="6">
        <v>23.75</v>
      </c>
      <c r="H11" s="4"/>
      <c r="M11" s="15" t="s">
        <v>42</v>
      </c>
      <c r="N11" s="16">
        <f>AVERAGE(C19:C27)</f>
        <v>0.35555555555555557</v>
      </c>
      <c r="O11" s="17">
        <f>AVERAGE(D19:D27)</f>
        <v>195.82222222222222</v>
      </c>
      <c r="P11" s="16">
        <f>AVERAGE(E19:E27)</f>
        <v>0.43444444444444447</v>
      </c>
      <c r="Q11" s="16">
        <f>AVERAGE(G19:G27)</f>
        <v>3.9850000000000008</v>
      </c>
      <c r="R11" s="18">
        <f>AVERAGE(H19:H27)</f>
        <v>1.6656666666666666</v>
      </c>
    </row>
    <row r="12" spans="1:18" x14ac:dyDescent="0.25">
      <c r="A12" s="6">
        <v>3</v>
      </c>
      <c r="B12" s="6" t="s">
        <v>43</v>
      </c>
      <c r="C12" s="6">
        <v>0.36</v>
      </c>
      <c r="D12" s="6">
        <v>237.1</v>
      </c>
      <c r="E12" s="6">
        <v>0</v>
      </c>
      <c r="F12" s="6">
        <v>23.75</v>
      </c>
      <c r="H12" s="4"/>
      <c r="I12" s="5"/>
      <c r="J12" s="4"/>
    </row>
    <row r="13" spans="1:18" x14ac:dyDescent="0.25">
      <c r="A13" s="6">
        <v>3</v>
      </c>
      <c r="B13" s="6" t="s">
        <v>45</v>
      </c>
      <c r="C13" s="6">
        <v>0.56000000000000005</v>
      </c>
      <c r="D13" s="6">
        <v>181.1</v>
      </c>
      <c r="E13" s="6">
        <v>0.15</v>
      </c>
      <c r="F13" s="6">
        <v>23.75</v>
      </c>
      <c r="G13">
        <v>3.31</v>
      </c>
      <c r="H13">
        <v>2.835</v>
      </c>
      <c r="I13" s="5"/>
      <c r="J13" s="4"/>
    </row>
    <row r="14" spans="1:18" x14ac:dyDescent="0.25">
      <c r="A14" s="6">
        <v>3</v>
      </c>
      <c r="B14" s="6" t="s">
        <v>45</v>
      </c>
      <c r="C14" s="6">
        <v>0.64</v>
      </c>
      <c r="D14" s="6">
        <v>178.9</v>
      </c>
      <c r="E14" s="6">
        <v>0.19</v>
      </c>
      <c r="F14" s="6">
        <v>23.75</v>
      </c>
      <c r="G14">
        <v>3.26</v>
      </c>
      <c r="H14">
        <v>3.3079999999999998</v>
      </c>
      <c r="I14" s="5"/>
      <c r="J14" s="4"/>
    </row>
    <row r="15" spans="1:18" x14ac:dyDescent="0.25">
      <c r="A15" s="6">
        <v>3</v>
      </c>
      <c r="B15" s="6" t="s">
        <v>45</v>
      </c>
      <c r="C15" s="6">
        <v>0.55000000000000004</v>
      </c>
      <c r="D15" s="6">
        <v>180.4</v>
      </c>
      <c r="E15" s="6">
        <v>0.06</v>
      </c>
      <c r="F15" s="6">
        <v>23.75</v>
      </c>
      <c r="G15">
        <v>3.24</v>
      </c>
      <c r="H15">
        <v>3.4289999999999998</v>
      </c>
      <c r="I15" s="5"/>
      <c r="J15" s="4"/>
    </row>
    <row r="16" spans="1:18" x14ac:dyDescent="0.25">
      <c r="A16" s="6">
        <v>3</v>
      </c>
      <c r="B16" s="6" t="s">
        <v>44</v>
      </c>
      <c r="C16" s="6">
        <v>0.3</v>
      </c>
      <c r="D16" s="6">
        <v>221.4</v>
      </c>
      <c r="E16" s="6">
        <v>0</v>
      </c>
      <c r="F16" s="6">
        <v>23.75</v>
      </c>
      <c r="G16">
        <v>3.74</v>
      </c>
      <c r="H16">
        <v>2.02</v>
      </c>
      <c r="I16" s="5"/>
      <c r="J16" s="4"/>
    </row>
    <row r="17" spans="1:10" x14ac:dyDescent="0.25">
      <c r="A17" s="6">
        <v>3</v>
      </c>
      <c r="B17" s="6" t="s">
        <v>44</v>
      </c>
      <c r="C17" s="6">
        <v>0.27</v>
      </c>
      <c r="D17" s="6">
        <v>222.2</v>
      </c>
      <c r="E17" s="6">
        <v>0</v>
      </c>
      <c r="F17" s="6">
        <v>23.75</v>
      </c>
      <c r="G17">
        <v>3.74</v>
      </c>
      <c r="H17">
        <v>2.2759999999999998</v>
      </c>
      <c r="I17" s="5"/>
      <c r="J17" s="4"/>
    </row>
    <row r="18" spans="1:10" x14ac:dyDescent="0.25">
      <c r="A18" s="6">
        <v>3</v>
      </c>
      <c r="B18" s="6" t="s">
        <v>44</v>
      </c>
      <c r="C18" s="6">
        <v>0.44</v>
      </c>
      <c r="D18" s="6">
        <v>220.1</v>
      </c>
      <c r="E18" s="6">
        <v>0</v>
      </c>
      <c r="F18" s="6">
        <v>23.75</v>
      </c>
      <c r="G18">
        <v>3.65</v>
      </c>
      <c r="H18">
        <v>2.1379999999999999</v>
      </c>
      <c r="I18" s="5"/>
      <c r="J18" s="4"/>
    </row>
    <row r="19" spans="1:10" x14ac:dyDescent="0.25">
      <c r="A19" s="6">
        <v>4</v>
      </c>
      <c r="B19" s="6" t="s">
        <v>43</v>
      </c>
      <c r="C19" s="6">
        <v>0.35</v>
      </c>
      <c r="D19" s="6">
        <v>204.6</v>
      </c>
      <c r="E19" s="6">
        <v>7.0000000000000007E-2</v>
      </c>
      <c r="F19" s="6">
        <v>23.75</v>
      </c>
    </row>
    <row r="20" spans="1:10" x14ac:dyDescent="0.25">
      <c r="A20" s="6">
        <v>4</v>
      </c>
      <c r="B20" s="6" t="s">
        <v>43</v>
      </c>
      <c r="C20" s="6">
        <v>0.34</v>
      </c>
      <c r="D20" s="6">
        <v>221.7</v>
      </c>
      <c r="E20" s="6">
        <v>0.05</v>
      </c>
      <c r="F20" s="6">
        <v>23.75</v>
      </c>
    </row>
    <row r="21" spans="1:10" x14ac:dyDescent="0.25">
      <c r="A21" s="6">
        <v>4</v>
      </c>
      <c r="B21" s="6" t="s">
        <v>43</v>
      </c>
      <c r="C21" s="6">
        <v>0.43</v>
      </c>
      <c r="D21" s="6">
        <v>203.8</v>
      </c>
      <c r="E21" s="6">
        <v>0</v>
      </c>
      <c r="F21" s="6">
        <v>23.75</v>
      </c>
    </row>
    <row r="22" spans="1:10" x14ac:dyDescent="0.25">
      <c r="A22" s="6">
        <v>4</v>
      </c>
      <c r="B22" s="6" t="s">
        <v>45</v>
      </c>
      <c r="C22" s="6">
        <v>0.41</v>
      </c>
      <c r="D22" s="6">
        <v>202.2</v>
      </c>
      <c r="E22" s="6">
        <v>0.44</v>
      </c>
      <c r="F22" s="6">
        <v>23.75</v>
      </c>
      <c r="G22">
        <v>3.85</v>
      </c>
      <c r="H22">
        <v>1.74</v>
      </c>
    </row>
    <row r="23" spans="1:10" x14ac:dyDescent="0.25">
      <c r="A23" s="6">
        <v>4</v>
      </c>
      <c r="B23" s="6" t="s">
        <v>45</v>
      </c>
      <c r="C23" s="6">
        <v>0.37</v>
      </c>
      <c r="D23" s="6">
        <v>203.7</v>
      </c>
      <c r="E23" s="6">
        <v>0.83</v>
      </c>
      <c r="F23" s="6">
        <v>23.75</v>
      </c>
      <c r="G23">
        <v>4.07</v>
      </c>
      <c r="H23">
        <v>1.5249999999999999</v>
      </c>
    </row>
    <row r="24" spans="1:10" x14ac:dyDescent="0.25">
      <c r="A24" s="6">
        <v>4</v>
      </c>
      <c r="B24" s="6" t="s">
        <v>45</v>
      </c>
      <c r="C24" s="6">
        <v>0.33</v>
      </c>
      <c r="D24" s="6">
        <v>190.4</v>
      </c>
      <c r="E24" s="6">
        <v>0.7</v>
      </c>
      <c r="F24" s="6">
        <v>23.75</v>
      </c>
      <c r="G24">
        <v>3.81</v>
      </c>
      <c r="H24">
        <v>1.633</v>
      </c>
    </row>
    <row r="25" spans="1:10" x14ac:dyDescent="0.25">
      <c r="A25" s="6">
        <v>4</v>
      </c>
      <c r="B25" s="6" t="s">
        <v>44</v>
      </c>
      <c r="C25" s="6">
        <v>0.26</v>
      </c>
      <c r="D25" s="6">
        <v>183.5</v>
      </c>
      <c r="E25" s="6">
        <v>1.08</v>
      </c>
      <c r="F25" s="6">
        <v>23.75</v>
      </c>
      <c r="G25">
        <v>4.1100000000000003</v>
      </c>
      <c r="H25">
        <v>1.647</v>
      </c>
    </row>
    <row r="26" spans="1:10" x14ac:dyDescent="0.25">
      <c r="A26" s="6">
        <v>4</v>
      </c>
      <c r="B26" s="6" t="s">
        <v>44</v>
      </c>
      <c r="C26" s="6">
        <v>0.37</v>
      </c>
      <c r="D26" s="6">
        <v>176.5</v>
      </c>
      <c r="E26" s="6">
        <v>0.35</v>
      </c>
      <c r="F26" s="6">
        <v>23.75</v>
      </c>
      <c r="G26">
        <v>4.08</v>
      </c>
      <c r="H26">
        <v>1.8080000000000001</v>
      </c>
    </row>
    <row r="27" spans="1:10" x14ac:dyDescent="0.25">
      <c r="A27" s="6">
        <v>4</v>
      </c>
      <c r="B27" s="6" t="s">
        <v>44</v>
      </c>
      <c r="C27" s="6">
        <v>0.34</v>
      </c>
      <c r="D27" s="6">
        <v>176</v>
      </c>
      <c r="E27" s="6">
        <v>0.39</v>
      </c>
      <c r="F27" s="6">
        <v>23.75</v>
      </c>
      <c r="G27">
        <v>3.99</v>
      </c>
      <c r="H27">
        <v>1.641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B42" sqref="B42:B53"/>
    </sheetView>
  </sheetViews>
  <sheetFormatPr defaultRowHeight="15" x14ac:dyDescent="0.25"/>
  <sheetData>
    <row r="1" spans="1:3" x14ac:dyDescent="0.25">
      <c r="A1" t="s">
        <v>0</v>
      </c>
      <c r="B1" t="s">
        <v>30</v>
      </c>
      <c r="C1" t="s">
        <v>72</v>
      </c>
    </row>
    <row r="2" spans="1:3" x14ac:dyDescent="0.25">
      <c r="A2" t="s">
        <v>64</v>
      </c>
      <c r="B2" s="22">
        <v>4.21</v>
      </c>
      <c r="C2" s="4">
        <f>AVERAGE(B2:B6)</f>
        <v>4.6159999999999997</v>
      </c>
    </row>
    <row r="3" spans="1:3" x14ac:dyDescent="0.25">
      <c r="A3" t="s">
        <v>64</v>
      </c>
      <c r="B3" s="22">
        <v>4.12</v>
      </c>
    </row>
    <row r="4" spans="1:3" x14ac:dyDescent="0.25">
      <c r="A4" t="s">
        <v>64</v>
      </c>
      <c r="B4" s="22">
        <v>4.71</v>
      </c>
    </row>
    <row r="5" spans="1:3" x14ac:dyDescent="0.25">
      <c r="A5" t="s">
        <v>64</v>
      </c>
      <c r="B5" s="22">
        <v>5.04</v>
      </c>
    </row>
    <row r="6" spans="1:3" x14ac:dyDescent="0.25">
      <c r="A6" t="s">
        <v>64</v>
      </c>
      <c r="B6" s="22">
        <v>5</v>
      </c>
    </row>
    <row r="7" spans="1:3" x14ac:dyDescent="0.25">
      <c r="A7" t="s">
        <v>64</v>
      </c>
      <c r="B7" s="22">
        <v>4.58</v>
      </c>
      <c r="C7" s="4">
        <f>AVERAGE(B7:B11)</f>
        <v>4.5499999999999989</v>
      </c>
    </row>
    <row r="8" spans="1:3" x14ac:dyDescent="0.25">
      <c r="A8" t="s">
        <v>64</v>
      </c>
      <c r="B8" s="22">
        <v>4.53</v>
      </c>
    </row>
    <row r="9" spans="1:3" x14ac:dyDescent="0.25">
      <c r="A9" t="s">
        <v>64</v>
      </c>
      <c r="B9" s="22">
        <v>4.8099999999999996</v>
      </c>
    </row>
    <row r="10" spans="1:3" x14ac:dyDescent="0.25">
      <c r="A10" t="s">
        <v>64</v>
      </c>
      <c r="B10" s="22">
        <v>4.3600000000000003</v>
      </c>
    </row>
    <row r="11" spans="1:3" x14ac:dyDescent="0.25">
      <c r="A11" t="s">
        <v>64</v>
      </c>
      <c r="B11" s="22">
        <v>4.47</v>
      </c>
    </row>
    <row r="12" spans="1:3" x14ac:dyDescent="0.25">
      <c r="A12" t="s">
        <v>65</v>
      </c>
      <c r="B12" s="22">
        <v>5.21</v>
      </c>
      <c r="C12" s="4">
        <f>AVERAGE(B12:B16)</f>
        <v>4.596000000000001</v>
      </c>
    </row>
    <row r="13" spans="1:3" x14ac:dyDescent="0.25">
      <c r="A13" t="s">
        <v>65</v>
      </c>
      <c r="B13" s="22">
        <v>4.25</v>
      </c>
    </row>
    <row r="14" spans="1:3" x14ac:dyDescent="0.25">
      <c r="A14" t="s">
        <v>65</v>
      </c>
      <c r="B14" s="22">
        <v>4.4000000000000004</v>
      </c>
    </row>
    <row r="15" spans="1:3" x14ac:dyDescent="0.25">
      <c r="A15" t="s">
        <v>65</v>
      </c>
      <c r="B15" s="22">
        <v>4.45</v>
      </c>
    </row>
    <row r="16" spans="1:3" x14ac:dyDescent="0.25">
      <c r="A16" t="s">
        <v>65</v>
      </c>
      <c r="B16" s="22">
        <v>4.67</v>
      </c>
    </row>
    <row r="17" spans="1:3" x14ac:dyDescent="0.25">
      <c r="A17" t="s">
        <v>65</v>
      </c>
      <c r="B17" s="22">
        <v>4.53</v>
      </c>
      <c r="C17" s="4">
        <f>AVERAGE(B17:B21)</f>
        <v>4.4700000000000006</v>
      </c>
    </row>
    <row r="18" spans="1:3" x14ac:dyDescent="0.25">
      <c r="A18" t="s">
        <v>65</v>
      </c>
      <c r="B18" s="22">
        <v>4.8499999999999996</v>
      </c>
    </row>
    <row r="19" spans="1:3" x14ac:dyDescent="0.25">
      <c r="A19" t="s">
        <v>65</v>
      </c>
      <c r="B19" s="22">
        <v>4.12</v>
      </c>
    </row>
    <row r="20" spans="1:3" x14ac:dyDescent="0.25">
      <c r="A20" t="s">
        <v>65</v>
      </c>
      <c r="B20" s="22">
        <v>4.55</v>
      </c>
    </row>
    <row r="21" spans="1:3" x14ac:dyDescent="0.25">
      <c r="A21" t="s">
        <v>65</v>
      </c>
      <c r="B21" s="22">
        <v>4.3</v>
      </c>
    </row>
    <row r="22" spans="1:3" x14ac:dyDescent="0.25">
      <c r="A22" t="s">
        <v>66</v>
      </c>
      <c r="B22" s="22">
        <v>4.6100000000000003</v>
      </c>
      <c r="C22" s="4">
        <f>AVERAGE(B22:B26)</f>
        <v>4.6780000000000008</v>
      </c>
    </row>
    <row r="23" spans="1:3" x14ac:dyDescent="0.25">
      <c r="A23" t="s">
        <v>66</v>
      </c>
      <c r="B23" s="22">
        <v>4.74</v>
      </c>
    </row>
    <row r="24" spans="1:3" x14ac:dyDescent="0.25">
      <c r="A24" t="s">
        <v>66</v>
      </c>
      <c r="B24" s="22">
        <v>5.12</v>
      </c>
    </row>
    <row r="25" spans="1:3" x14ac:dyDescent="0.25">
      <c r="A25" t="s">
        <v>66</v>
      </c>
      <c r="B25" s="22">
        <v>4.4400000000000004</v>
      </c>
    </row>
    <row r="26" spans="1:3" x14ac:dyDescent="0.25">
      <c r="A26" t="s">
        <v>66</v>
      </c>
      <c r="B26" s="22">
        <v>4.4800000000000004</v>
      </c>
    </row>
    <row r="27" spans="1:3" x14ac:dyDescent="0.25">
      <c r="A27" t="s">
        <v>66</v>
      </c>
      <c r="B27" s="22">
        <v>4.79</v>
      </c>
      <c r="C27" s="4">
        <f>AVERAGE(B27:B31)</f>
        <v>4.6879999999999997</v>
      </c>
    </row>
    <row r="28" spans="1:3" x14ac:dyDescent="0.25">
      <c r="A28" t="s">
        <v>66</v>
      </c>
      <c r="B28" s="22">
        <v>4.5</v>
      </c>
    </row>
    <row r="29" spans="1:3" x14ac:dyDescent="0.25">
      <c r="A29" t="s">
        <v>66</v>
      </c>
      <c r="B29" s="22">
        <v>5.0199999999999996</v>
      </c>
    </row>
    <row r="30" spans="1:3" x14ac:dyDescent="0.25">
      <c r="A30" t="s">
        <v>66</v>
      </c>
      <c r="B30" s="22">
        <v>4.3899999999999997</v>
      </c>
    </row>
    <row r="31" spans="1:3" x14ac:dyDescent="0.25">
      <c r="A31" t="s">
        <v>66</v>
      </c>
      <c r="B31" s="22">
        <v>4.74</v>
      </c>
    </row>
    <row r="32" spans="1:3" x14ac:dyDescent="0.25">
      <c r="A32" t="s">
        <v>67</v>
      </c>
      <c r="B32" s="22">
        <v>4.91</v>
      </c>
      <c r="C32" s="4">
        <f>AVERAGE(B32:B36)</f>
        <v>4.9480000000000004</v>
      </c>
    </row>
    <row r="33" spans="1:3" x14ac:dyDescent="0.25">
      <c r="A33" t="s">
        <v>67</v>
      </c>
      <c r="B33" s="22">
        <v>4.8499999999999996</v>
      </c>
    </row>
    <row r="34" spans="1:3" x14ac:dyDescent="0.25">
      <c r="A34" t="s">
        <v>67</v>
      </c>
      <c r="B34" s="22">
        <v>5.07</v>
      </c>
    </row>
    <row r="35" spans="1:3" x14ac:dyDescent="0.25">
      <c r="A35" t="s">
        <v>67</v>
      </c>
      <c r="B35" s="22">
        <v>4.67</v>
      </c>
    </row>
    <row r="36" spans="1:3" x14ac:dyDescent="0.25">
      <c r="A36" t="s">
        <v>67</v>
      </c>
      <c r="B36" s="22">
        <v>5.24</v>
      </c>
    </row>
    <row r="37" spans="1:3" x14ac:dyDescent="0.25">
      <c r="A37" t="s">
        <v>67</v>
      </c>
      <c r="B37" s="22">
        <v>5.07</v>
      </c>
      <c r="C37" s="4">
        <f>AVERAGE(B37:B41)</f>
        <v>4.8439999999999994</v>
      </c>
    </row>
    <row r="38" spans="1:3" x14ac:dyDescent="0.25">
      <c r="A38" t="s">
        <v>67</v>
      </c>
      <c r="B38" s="22">
        <v>4.6900000000000004</v>
      </c>
    </row>
    <row r="39" spans="1:3" x14ac:dyDescent="0.25">
      <c r="A39" t="s">
        <v>67</v>
      </c>
      <c r="B39" s="22">
        <v>4.79</v>
      </c>
    </row>
    <row r="40" spans="1:3" x14ac:dyDescent="0.25">
      <c r="A40" t="s">
        <v>67</v>
      </c>
      <c r="B40" s="22">
        <v>4.79</v>
      </c>
    </row>
    <row r="41" spans="1:3" x14ac:dyDescent="0.25">
      <c r="A41" t="s">
        <v>67</v>
      </c>
      <c r="B41" s="22">
        <v>4.88</v>
      </c>
    </row>
    <row r="42" spans="1:3" x14ac:dyDescent="0.25">
      <c r="A42" t="s">
        <v>68</v>
      </c>
      <c r="B42">
        <v>3.31</v>
      </c>
      <c r="C42">
        <f>AVERAGE(B42:B43)</f>
        <v>3.2850000000000001</v>
      </c>
    </row>
    <row r="43" spans="1:3" x14ac:dyDescent="0.25">
      <c r="A43" t="s">
        <v>68</v>
      </c>
      <c r="B43">
        <v>3.26</v>
      </c>
    </row>
    <row r="44" spans="1:3" x14ac:dyDescent="0.25">
      <c r="A44" t="s">
        <v>68</v>
      </c>
      <c r="B44">
        <v>3.24</v>
      </c>
      <c r="C44">
        <f>AVERAGE(B44:B45)</f>
        <v>3.49</v>
      </c>
    </row>
    <row r="45" spans="1:3" x14ac:dyDescent="0.25">
      <c r="A45" t="s">
        <v>69</v>
      </c>
      <c r="B45">
        <v>3.74</v>
      </c>
    </row>
    <row r="46" spans="1:3" x14ac:dyDescent="0.25">
      <c r="A46" t="s">
        <v>69</v>
      </c>
      <c r="B46">
        <v>3.74</v>
      </c>
      <c r="C46">
        <f>AVERAGE(B46:B47)</f>
        <v>3.6950000000000003</v>
      </c>
    </row>
    <row r="47" spans="1:3" x14ac:dyDescent="0.25">
      <c r="A47" t="s">
        <v>69</v>
      </c>
      <c r="B47">
        <v>3.65</v>
      </c>
    </row>
    <row r="48" spans="1:3" x14ac:dyDescent="0.25">
      <c r="A48" t="s">
        <v>70</v>
      </c>
      <c r="B48">
        <v>3.85</v>
      </c>
      <c r="C48">
        <f>AVERAGE(B48:B49)</f>
        <v>3.96</v>
      </c>
    </row>
    <row r="49" spans="1:3" x14ac:dyDescent="0.25">
      <c r="A49" t="s">
        <v>70</v>
      </c>
      <c r="B49">
        <v>4.07</v>
      </c>
    </row>
    <row r="50" spans="1:3" x14ac:dyDescent="0.25">
      <c r="A50" t="s">
        <v>70</v>
      </c>
      <c r="B50">
        <v>3.81</v>
      </c>
      <c r="C50">
        <f>AVERAGE(B50:B51)</f>
        <v>3.96</v>
      </c>
    </row>
    <row r="51" spans="1:3" x14ac:dyDescent="0.25">
      <c r="A51" t="s">
        <v>71</v>
      </c>
      <c r="B51">
        <v>4.1100000000000003</v>
      </c>
    </row>
    <row r="52" spans="1:3" x14ac:dyDescent="0.25">
      <c r="A52" t="s">
        <v>71</v>
      </c>
      <c r="B52">
        <v>4.08</v>
      </c>
      <c r="C52">
        <f>AVERAGE(B52:B53)</f>
        <v>4.0350000000000001</v>
      </c>
    </row>
    <row r="53" spans="1:3" x14ac:dyDescent="0.25">
      <c r="A53" t="s">
        <v>71</v>
      </c>
      <c r="B53">
        <v>3.99</v>
      </c>
    </row>
  </sheetData>
  <autoFilter ref="C1:C5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zoomScale="97" workbookViewId="0">
      <selection activeCell="G29" sqref="G29"/>
    </sheetView>
  </sheetViews>
  <sheetFormatPr defaultRowHeight="15" x14ac:dyDescent="0.25"/>
  <sheetData>
    <row r="1" spans="1:4" x14ac:dyDescent="0.25">
      <c r="A1" t="s">
        <v>0</v>
      </c>
      <c r="D1" t="s">
        <v>74</v>
      </c>
    </row>
    <row r="2" spans="1:4" x14ac:dyDescent="0.25">
      <c r="A2">
        <v>1</v>
      </c>
      <c r="D2">
        <v>0.69</v>
      </c>
    </row>
    <row r="3" spans="1:4" x14ac:dyDescent="0.25">
      <c r="A3">
        <v>1</v>
      </c>
    </row>
    <row r="4" spans="1:4" x14ac:dyDescent="0.25">
      <c r="A4">
        <v>1</v>
      </c>
    </row>
    <row r="5" spans="1:4" x14ac:dyDescent="0.25">
      <c r="A5">
        <v>1</v>
      </c>
    </row>
    <row r="6" spans="1:4" x14ac:dyDescent="0.25">
      <c r="A6">
        <v>1</v>
      </c>
    </row>
    <row r="7" spans="1:4" x14ac:dyDescent="0.25">
      <c r="A7">
        <v>1</v>
      </c>
      <c r="D7">
        <v>0.56999999999999995</v>
      </c>
    </row>
    <row r="8" spans="1:4" x14ac:dyDescent="0.25">
      <c r="A8">
        <v>1</v>
      </c>
    </row>
    <row r="9" spans="1:4" x14ac:dyDescent="0.25">
      <c r="A9">
        <v>1</v>
      </c>
    </row>
    <row r="10" spans="1:4" x14ac:dyDescent="0.25">
      <c r="A10">
        <v>1</v>
      </c>
    </row>
    <row r="11" spans="1:4" x14ac:dyDescent="0.25">
      <c r="A11">
        <v>1</v>
      </c>
    </row>
    <row r="12" spans="1:4" x14ac:dyDescent="0.25">
      <c r="A12">
        <v>1</v>
      </c>
      <c r="D12">
        <v>0.51</v>
      </c>
    </row>
    <row r="13" spans="1:4" x14ac:dyDescent="0.25">
      <c r="A13">
        <v>1</v>
      </c>
    </row>
    <row r="14" spans="1:4" x14ac:dyDescent="0.25">
      <c r="A14">
        <v>1</v>
      </c>
    </row>
    <row r="15" spans="1:4" x14ac:dyDescent="0.25">
      <c r="A15">
        <v>1</v>
      </c>
    </row>
    <row r="16" spans="1:4" x14ac:dyDescent="0.25">
      <c r="A16">
        <v>1</v>
      </c>
    </row>
    <row r="17" spans="1:4" x14ac:dyDescent="0.25">
      <c r="A17">
        <v>1</v>
      </c>
      <c r="D17">
        <v>0.61</v>
      </c>
    </row>
    <row r="18" spans="1:4" x14ac:dyDescent="0.25">
      <c r="A18">
        <v>2</v>
      </c>
      <c r="D18">
        <v>0.56999999999999995</v>
      </c>
    </row>
    <row r="19" spans="1:4" x14ac:dyDescent="0.25">
      <c r="A19">
        <v>2</v>
      </c>
    </row>
    <row r="20" spans="1:4" x14ac:dyDescent="0.25">
      <c r="A20">
        <v>2</v>
      </c>
    </row>
    <row r="21" spans="1:4" x14ac:dyDescent="0.25">
      <c r="A21">
        <v>2</v>
      </c>
    </row>
    <row r="22" spans="1:4" x14ac:dyDescent="0.25">
      <c r="A22">
        <v>2</v>
      </c>
    </row>
    <row r="23" spans="1:4" x14ac:dyDescent="0.25">
      <c r="A23">
        <v>2</v>
      </c>
      <c r="D23">
        <v>0.62</v>
      </c>
    </row>
    <row r="24" spans="1:4" x14ac:dyDescent="0.25">
      <c r="A24">
        <v>2</v>
      </c>
    </row>
    <row r="25" spans="1:4" x14ac:dyDescent="0.25">
      <c r="A25">
        <v>2</v>
      </c>
    </row>
    <row r="26" spans="1:4" x14ac:dyDescent="0.25">
      <c r="A26">
        <v>2</v>
      </c>
    </row>
    <row r="27" spans="1:4" x14ac:dyDescent="0.25">
      <c r="A27">
        <v>2</v>
      </c>
    </row>
    <row r="28" spans="1:4" x14ac:dyDescent="0.25">
      <c r="A28">
        <v>2</v>
      </c>
      <c r="D28">
        <v>0.85</v>
      </c>
    </row>
    <row r="29" spans="1:4" x14ac:dyDescent="0.25">
      <c r="A29">
        <v>2</v>
      </c>
    </row>
    <row r="30" spans="1:4" x14ac:dyDescent="0.25">
      <c r="A30">
        <v>2</v>
      </c>
    </row>
    <row r="31" spans="1:4" x14ac:dyDescent="0.25">
      <c r="A31">
        <v>2</v>
      </c>
    </row>
    <row r="32" spans="1:4" x14ac:dyDescent="0.25">
      <c r="A32">
        <v>2</v>
      </c>
    </row>
    <row r="33" spans="1:4" x14ac:dyDescent="0.25">
      <c r="A33">
        <v>2</v>
      </c>
      <c r="D33">
        <v>0.7</v>
      </c>
    </row>
    <row r="34" spans="1:4" x14ac:dyDescent="0.25">
      <c r="A34">
        <v>3</v>
      </c>
      <c r="B34" t="s">
        <v>15</v>
      </c>
      <c r="C34">
        <v>2.835</v>
      </c>
      <c r="D34">
        <f>AVERAGE(C34:C35)</f>
        <v>3.0714999999999999</v>
      </c>
    </row>
    <row r="35" spans="1:4" x14ac:dyDescent="0.25">
      <c r="A35">
        <v>3</v>
      </c>
      <c r="B35" t="s">
        <v>15</v>
      </c>
      <c r="C35">
        <v>3.3079999999999998</v>
      </c>
    </row>
    <row r="36" spans="1:4" x14ac:dyDescent="0.25">
      <c r="A36">
        <v>3</v>
      </c>
      <c r="B36" t="s">
        <v>15</v>
      </c>
      <c r="C36">
        <v>3.4289999999999998</v>
      </c>
      <c r="D36">
        <f>AVERAGE(C36:C37)</f>
        <v>2.7244999999999999</v>
      </c>
    </row>
    <row r="37" spans="1:4" x14ac:dyDescent="0.25">
      <c r="A37">
        <v>3</v>
      </c>
      <c r="B37" t="s">
        <v>16</v>
      </c>
      <c r="C37">
        <v>2.02</v>
      </c>
    </row>
    <row r="38" spans="1:4" x14ac:dyDescent="0.25">
      <c r="A38">
        <v>3</v>
      </c>
      <c r="B38" t="s">
        <v>16</v>
      </c>
      <c r="C38">
        <v>2.2759999999999998</v>
      </c>
      <c r="D38">
        <f>AVERAGE(C38:C39)</f>
        <v>2.2069999999999999</v>
      </c>
    </row>
    <row r="39" spans="1:4" x14ac:dyDescent="0.25">
      <c r="A39">
        <v>3</v>
      </c>
      <c r="B39" t="s">
        <v>16</v>
      </c>
      <c r="C39">
        <v>2.1379999999999999</v>
      </c>
    </row>
    <row r="40" spans="1:4" x14ac:dyDescent="0.25">
      <c r="A40">
        <v>4</v>
      </c>
      <c r="B40" t="s">
        <v>15</v>
      </c>
      <c r="C40">
        <v>1.74</v>
      </c>
      <c r="D40">
        <f>AVERAGE(C40:C41)</f>
        <v>1.6324999999999998</v>
      </c>
    </row>
    <row r="41" spans="1:4" x14ac:dyDescent="0.25">
      <c r="A41">
        <v>4</v>
      </c>
      <c r="B41" t="s">
        <v>15</v>
      </c>
      <c r="C41">
        <v>1.5249999999999999</v>
      </c>
    </row>
    <row r="42" spans="1:4" x14ac:dyDescent="0.25">
      <c r="A42">
        <v>4</v>
      </c>
      <c r="B42" t="s">
        <v>15</v>
      </c>
      <c r="C42">
        <v>1.633</v>
      </c>
      <c r="D42">
        <f>AVERAGE(C42:C43)</f>
        <v>1.6400000000000001</v>
      </c>
    </row>
    <row r="43" spans="1:4" x14ac:dyDescent="0.25">
      <c r="A43">
        <v>4</v>
      </c>
      <c r="B43" t="s">
        <v>16</v>
      </c>
      <c r="C43">
        <v>1.647</v>
      </c>
    </row>
    <row r="44" spans="1:4" x14ac:dyDescent="0.25">
      <c r="A44">
        <v>4</v>
      </c>
      <c r="B44" t="s">
        <v>16</v>
      </c>
      <c r="C44">
        <v>1.8080000000000001</v>
      </c>
      <c r="D44">
        <f>AVERAGE(C44:C45)</f>
        <v>1.7244999999999999</v>
      </c>
    </row>
    <row r="45" spans="1:4" x14ac:dyDescent="0.25">
      <c r="A45">
        <v>4</v>
      </c>
      <c r="B45" t="s">
        <v>16</v>
      </c>
      <c r="C45">
        <v>1.641</v>
      </c>
    </row>
  </sheetData>
  <autoFilter ref="D1:D4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FB3B7043DAC64BB9D8D0531B27E43A" ma:contentTypeVersion="10" ma:contentTypeDescription="Creare un nuovo documento." ma:contentTypeScope="" ma:versionID="637c7058cee590e55d0245223c3bc913">
  <xsd:schema xmlns:xsd="http://www.w3.org/2001/XMLSchema" xmlns:xs="http://www.w3.org/2001/XMLSchema" xmlns:p="http://schemas.microsoft.com/office/2006/metadata/properties" xmlns:ns3="22c16e5b-941a-42c7-b6f0-5f38e39a85f1" targetNamespace="http://schemas.microsoft.com/office/2006/metadata/properties" ma:root="true" ma:fieldsID="4c21e25ce3f606edc74c7a91776f399b" ns3:_="">
    <xsd:import namespace="22c16e5b-941a-42c7-b6f0-5f38e39a85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16e5b-941a-42c7-b6f0-5f38e39a85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16e5b-941a-42c7-b6f0-5f38e39a85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3740BD-494F-4A05-BECC-CF4527899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16e5b-941a-42c7-b6f0-5f38e39a8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BA83D4-A45C-4509-8C62-4B1EDCB3E2D2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22c16e5b-941a-42c7-b6f0-5f38e39a85f1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8FE10EA-92A5-4E04-85D7-39017A34D2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micro_singoli</vt:lpstr>
      <vt:lpstr>prove_joint</vt:lpstr>
      <vt:lpstr>prove_joint_day_5</vt:lpstr>
      <vt:lpstr>medie_corrette</vt:lpstr>
      <vt:lpstr>NT_joint</vt:lpstr>
      <vt:lpstr>pH_NT</vt:lpstr>
      <vt:lpstr>AC_tot_NT</vt:lpstr>
    </vt:vector>
  </TitlesOfParts>
  <Company>Università Cattolica del Sacro Cuore - Piacenza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Chiapparoli Lorenzo (Consulente)</dc:creator>
  <cp:lastModifiedBy>Chiapparoli Lorenzo (Consulente)</cp:lastModifiedBy>
  <dcterms:created xsi:type="dcterms:W3CDTF">2026-01-26T14:15:12Z</dcterms:created>
  <dcterms:modified xsi:type="dcterms:W3CDTF">2026-05-28T13:12:33Z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0x010100C1FB3B7043DAC64BB9D8D0531B27E43A</vt:lpwstr>
  </property>
</Properties>
</file>